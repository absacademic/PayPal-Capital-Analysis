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https://d.docs.live.net/6d9ad1a11c5f7819/Desktop/Projects/PayPal-Capital-Analysis/"/>
    </mc:Choice>
  </mc:AlternateContent>
  <xr:revisionPtr revIDLastSave="2" documentId="13_ncr:1_{13B569ED-0014-43D8-89BB-7D3A0BA46170}" xr6:coauthVersionLast="47" xr6:coauthVersionMax="47" xr10:uidLastSave="{C12995F0-ADAE-4020-BA34-AFD73D0A8698}"/>
  <bookViews>
    <workbookView minimized="1" xWindow="4000" yWindow="340" windowWidth="21600" windowHeight="11180" firstSheet="5" activeTab="10" xr2:uid="{00000000-000D-0000-FFFF-FFFF00000000}"/>
  </bookViews>
  <sheets>
    <sheet name="0 Cover" sheetId="1" r:id="rId1"/>
    <sheet name="1 Inputs" sheetId="2" r:id="rId2"/>
    <sheet name="2 Historical FS" sheetId="3" r:id="rId3"/>
    <sheet name="3 Forecast" sheetId="4" r:id="rId4"/>
    <sheet name="4 DCF" sheetId="5" r:id="rId5"/>
    <sheet name="5 Trading Comps" sheetId="6" r:id="rId6"/>
    <sheet name="6 Precedents" sheetId="7" r:id="rId7"/>
    <sheet name="7 Financing Alternatives" sheetId="8" r:id="rId8"/>
    <sheet name="8 Accretion Dilution" sheetId="9" r:id="rId9"/>
    <sheet name="9 Sensitivities" sheetId="10" r:id="rId10"/>
    <sheet name="10 Recommendation" sheetId="11" r:id="rId11"/>
    <sheet name="11 Sources" sheetId="12" r:id="rId1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7" i="10" l="1"/>
  <c r="D17" i="10"/>
  <c r="C17" i="10"/>
  <c r="B17" i="10"/>
  <c r="F8" i="10"/>
  <c r="E8" i="10"/>
  <c r="D8" i="10"/>
  <c r="C8" i="10"/>
  <c r="B8" i="10"/>
  <c r="F7" i="10"/>
  <c r="E7" i="10"/>
  <c r="D7" i="10"/>
  <c r="C7" i="10"/>
  <c r="B7" i="10"/>
  <c r="F6" i="10"/>
  <c r="E6" i="10"/>
  <c r="D6" i="10"/>
  <c r="C6" i="10"/>
  <c r="B6" i="10"/>
  <c r="F5" i="10"/>
  <c r="E5" i="10"/>
  <c r="D5" i="10"/>
  <c r="C5" i="10"/>
  <c r="B5" i="10"/>
  <c r="F4" i="10"/>
  <c r="E4" i="10"/>
  <c r="D4" i="10"/>
  <c r="C4" i="10"/>
  <c r="B4" i="10"/>
  <c r="B12" i="9"/>
  <c r="B9" i="9"/>
  <c r="B8" i="9"/>
  <c r="B7" i="9"/>
  <c r="H5" i="9"/>
  <c r="G5" i="9"/>
  <c r="E5" i="9"/>
  <c r="B4" i="9"/>
  <c r="B11" i="9" s="1"/>
  <c r="B7" i="8"/>
  <c r="B6" i="8"/>
  <c r="B4" i="8"/>
  <c r="H10" i="7"/>
  <c r="D10" i="7"/>
  <c r="H10" i="6"/>
  <c r="G12" i="6" s="1"/>
  <c r="G10" i="6"/>
  <c r="G11" i="6" s="1"/>
  <c r="F10" i="6"/>
  <c r="E10" i="6"/>
  <c r="D10" i="6"/>
  <c r="C10" i="6"/>
  <c r="H9" i="6"/>
  <c r="G9" i="6"/>
  <c r="H8" i="6"/>
  <c r="G8" i="6"/>
  <c r="H7" i="6"/>
  <c r="G7" i="6"/>
  <c r="H6" i="6"/>
  <c r="G6" i="6"/>
  <c r="H5" i="6"/>
  <c r="G5" i="6"/>
  <c r="H4" i="6"/>
  <c r="G4" i="6"/>
  <c r="B21" i="5"/>
  <c r="B19" i="5"/>
  <c r="F11" i="5"/>
  <c r="E11" i="5"/>
  <c r="D11" i="5"/>
  <c r="C11" i="5"/>
  <c r="B11" i="5"/>
  <c r="C28" i="4"/>
  <c r="D5" i="8" s="1"/>
  <c r="C23" i="4"/>
  <c r="G22" i="4"/>
  <c r="F22" i="4"/>
  <c r="E22" i="4"/>
  <c r="D22" i="4"/>
  <c r="C22" i="4"/>
  <c r="C19" i="4"/>
  <c r="B8" i="5" s="1"/>
  <c r="C12" i="4"/>
  <c r="F5" i="9" s="1"/>
  <c r="C4" i="4"/>
  <c r="C18" i="4" s="1"/>
  <c r="B7" i="5" s="1"/>
  <c r="B8" i="2"/>
  <c r="B6" i="1"/>
  <c r="B5" i="1"/>
  <c r="B14" i="9" l="1"/>
  <c r="B13" i="9"/>
  <c r="B16" i="9" s="1"/>
  <c r="E11" i="6"/>
  <c r="D6" i="8"/>
  <c r="D4" i="4"/>
  <c r="C20" i="4"/>
  <c r="D23" i="4"/>
  <c r="H11" i="6"/>
  <c r="C8" i="4"/>
  <c r="C5" i="4"/>
  <c r="D7" i="8"/>
  <c r="C6" i="4"/>
  <c r="D12" i="4"/>
  <c r="D28" i="4"/>
  <c r="D4" i="8"/>
  <c r="E28" i="4" l="1"/>
  <c r="D8" i="4"/>
  <c r="D29" i="4"/>
  <c r="E12" i="4"/>
  <c r="E23" i="4"/>
  <c r="C9" i="4"/>
  <c r="H12" i="6"/>
  <c r="E12" i="6"/>
  <c r="C30" i="4"/>
  <c r="B4" i="5"/>
  <c r="F6" i="8"/>
  <c r="C7" i="4"/>
  <c r="C29" i="4"/>
  <c r="F5" i="8"/>
  <c r="B9" i="5"/>
  <c r="C25" i="4"/>
  <c r="D6" i="4"/>
  <c r="D18" i="4"/>
  <c r="C7" i="5" s="1"/>
  <c r="D5" i="4"/>
  <c r="D20" i="4"/>
  <c r="C9" i="5" s="1"/>
  <c r="E4" i="4"/>
  <c r="D19" i="4"/>
  <c r="C8" i="5" s="1"/>
  <c r="B5" i="5" l="1"/>
  <c r="B6" i="5" s="1"/>
  <c r="B10" i="5" s="1"/>
  <c r="B12" i="5" s="1"/>
  <c r="F4" i="8"/>
  <c r="F7" i="8"/>
  <c r="C10" i="4"/>
  <c r="C11" i="4" s="1"/>
  <c r="E18" i="4"/>
  <c r="D7" i="5" s="1"/>
  <c r="E5" i="4"/>
  <c r="E19" i="4"/>
  <c r="D8" i="5" s="1"/>
  <c r="E6" i="4"/>
  <c r="E20" i="4"/>
  <c r="D9" i="5" s="1"/>
  <c r="F4" i="4"/>
  <c r="F12" i="4"/>
  <c r="F23" i="4"/>
  <c r="D9" i="4"/>
  <c r="D30" i="4"/>
  <c r="C4" i="5"/>
  <c r="D7" i="4"/>
  <c r="D25" i="4"/>
  <c r="E8" i="4"/>
  <c r="F28" i="4"/>
  <c r="H4" i="9" l="1"/>
  <c r="H6" i="9" s="1"/>
  <c r="G4" i="9"/>
  <c r="G6" i="9" s="1"/>
  <c r="G7" i="9" s="1"/>
  <c r="F4" i="9"/>
  <c r="F6" i="9" s="1"/>
  <c r="E4" i="9"/>
  <c r="E6" i="9" s="1"/>
  <c r="C27" i="4"/>
  <c r="C17" i="4"/>
  <c r="C21" i="4" s="1"/>
  <c r="C13" i="4"/>
  <c r="B15" i="9"/>
  <c r="B17" i="9" s="1"/>
  <c r="D10" i="4"/>
  <c r="D11" i="4" s="1"/>
  <c r="G23" i="4"/>
  <c r="G12" i="4"/>
  <c r="F5" i="4"/>
  <c r="F19" i="4"/>
  <c r="E8" i="5" s="1"/>
  <c r="F18" i="4"/>
  <c r="E7" i="5" s="1"/>
  <c r="F20" i="4"/>
  <c r="E9" i="5" s="1"/>
  <c r="G4" i="4"/>
  <c r="F6" i="4"/>
  <c r="E9" i="4"/>
  <c r="E30" i="4"/>
  <c r="D4" i="5"/>
  <c r="E7" i="4"/>
  <c r="F8" i="4"/>
  <c r="G28" i="4"/>
  <c r="E29" i="4"/>
  <c r="E25" i="4"/>
  <c r="C5" i="5"/>
  <c r="C6" i="5" s="1"/>
  <c r="C10" i="5" s="1"/>
  <c r="C12" i="5" s="1"/>
  <c r="D17" i="4" l="1"/>
  <c r="D21" i="4" s="1"/>
  <c r="D32" i="4" s="1"/>
  <c r="D13" i="4"/>
  <c r="D5" i="5"/>
  <c r="D6" i="5"/>
  <c r="D10" i="5" s="1"/>
  <c r="D12" i="5" s="1"/>
  <c r="F29" i="4"/>
  <c r="F25" i="4"/>
  <c r="G8" i="4"/>
  <c r="G29" i="4"/>
  <c r="C24" i="4"/>
  <c r="C32" i="4"/>
  <c r="D27" i="4"/>
  <c r="E10" i="4"/>
  <c r="E11" i="4" s="1"/>
  <c r="F30" i="4"/>
  <c r="E4" i="5"/>
  <c r="F7" i="4"/>
  <c r="F9" i="4"/>
  <c r="F7" i="9"/>
  <c r="G18" i="4"/>
  <c r="F7" i="5" s="1"/>
  <c r="G5" i="4"/>
  <c r="G20" i="4"/>
  <c r="F9" i="5" s="1"/>
  <c r="G6" i="4"/>
  <c r="G19" i="4"/>
  <c r="F8" i="5" s="1"/>
  <c r="H7" i="9"/>
  <c r="E17" i="4" l="1"/>
  <c r="E21" i="4" s="1"/>
  <c r="E32" i="4" s="1"/>
  <c r="E13" i="4"/>
  <c r="E27" i="4"/>
  <c r="G9" i="4"/>
  <c r="G30" i="4"/>
  <c r="F4" i="5"/>
  <c r="G7" i="4"/>
  <c r="G25" i="4"/>
  <c r="E5" i="5"/>
  <c r="E6" i="5"/>
  <c r="E10" i="5" s="1"/>
  <c r="E12" i="5" s="1"/>
  <c r="F10" i="4"/>
  <c r="F11" i="4" s="1"/>
  <c r="C31" i="4"/>
  <c r="D24" i="4"/>
  <c r="C26" i="4"/>
  <c r="D26" i="4" s="1"/>
  <c r="E5" i="8"/>
  <c r="E6" i="8"/>
  <c r="F17" i="4" l="1"/>
  <c r="F21" i="4" s="1"/>
  <c r="F32" i="4" s="1"/>
  <c r="F13" i="4"/>
  <c r="E24" i="4"/>
  <c r="D31" i="4"/>
  <c r="E4" i="8"/>
  <c r="E7" i="8"/>
  <c r="F5" i="5"/>
  <c r="F6" i="5"/>
  <c r="F10" i="5" s="1"/>
  <c r="G10" i="4"/>
  <c r="G11" i="4" s="1"/>
  <c r="F27" i="4"/>
  <c r="G17" i="4" l="1"/>
  <c r="G21" i="4" s="1"/>
  <c r="G32" i="4" s="1"/>
  <c r="G13" i="4"/>
  <c r="G27" i="4"/>
  <c r="B26" i="5"/>
  <c r="B29" i="5"/>
  <c r="B28" i="5"/>
  <c r="B16" i="5"/>
  <c r="B17" i="5" s="1"/>
  <c r="F12" i="5"/>
  <c r="B15" i="5" s="1"/>
  <c r="F24" i="4"/>
  <c r="E31" i="4"/>
  <c r="E26" i="4"/>
  <c r="D28" i="5" l="1"/>
  <c r="G24" i="4"/>
  <c r="G31" i="4" s="1"/>
  <c r="F31" i="4"/>
  <c r="B18" i="5"/>
  <c r="B20" i="5" s="1"/>
  <c r="B22" i="5" s="1"/>
  <c r="B4" i="1" s="1"/>
  <c r="C29" i="5"/>
  <c r="E30" i="5"/>
  <c r="D29" i="5"/>
  <c r="F30" i="5"/>
  <c r="D26" i="5"/>
  <c r="E29" i="5"/>
  <c r="C28" i="5"/>
  <c r="F29" i="5"/>
  <c r="D30" i="5"/>
  <c r="C30" i="5"/>
  <c r="F27" i="5"/>
  <c r="D27" i="5"/>
  <c r="C26" i="5"/>
  <c r="B27" i="5"/>
  <c r="E26" i="5"/>
  <c r="C27" i="5"/>
  <c r="F26" i="5"/>
  <c r="E27" i="5"/>
  <c r="B30" i="5"/>
  <c r="E28" i="5"/>
  <c r="F26" i="4"/>
  <c r="G26" i="4" s="1"/>
  <c r="F28" i="5"/>
</calcChain>
</file>

<file path=xl/sharedStrings.xml><?xml version="1.0" encoding="utf-8"?>
<sst xmlns="http://schemas.openxmlformats.org/spreadsheetml/2006/main" count="380" uniqueCount="288">
  <si>
    <t>PayPal Capital Allocation Review</t>
  </si>
  <si>
    <t>Objective</t>
  </si>
  <si>
    <t>Should PayPal prioritize share repurchases, debt reduction, a strategic acquisition, or greater investment in Venmo and branded checkout?</t>
  </si>
  <si>
    <t>Recommendation</t>
  </si>
  <si>
    <t>Prioritize Venmo + branded checkout investment, continue valuation-sensitive buybacks, selectively reduce debt, avoid large M&amp;A.</t>
  </si>
  <si>
    <t>DCF implied share price</t>
  </si>
  <si>
    <t>Current share price</t>
  </si>
  <si>
    <t>2026E repurchase program</t>
  </si>
  <si>
    <t>Scenario</t>
  </si>
  <si>
    <t>Base case; update assumptions in Inputs tab</t>
  </si>
  <si>
    <t>Resources</t>
  </si>
  <si>
    <t>Company 10-K, 1Q26 earnings release and presentation, market data, transaction announcements</t>
  </si>
  <si>
    <t>Main conclusion</t>
  </si>
  <si>
    <t>PayPal's capital allocation should solve the growth and multiple problem first; buybacks are second-best while valuation remains discounted.</t>
  </si>
  <si>
    <t>Model units</t>
  </si>
  <si>
    <t>$mm except per-share, % and multiples</t>
  </si>
  <si>
    <t>Inputs and Assumptions</t>
  </si>
  <si>
    <t>Market / Balance Sheet</t>
  </si>
  <si>
    <t>Value</t>
  </si>
  <si>
    <t>Units</t>
  </si>
  <si>
    <t>Source</t>
  </si>
  <si>
    <t>$/sh</t>
  </si>
  <si>
    <t>web finance snapshot</t>
  </si>
  <si>
    <t>Diluted shares</t>
  </si>
  <si>
    <t>mm</t>
  </si>
  <si>
    <t>market cap / price; model input</t>
  </si>
  <si>
    <t>Market capitalization</t>
  </si>
  <si>
    <t>$mm</t>
  </si>
  <si>
    <t>Cash + investments</t>
  </si>
  <si>
    <t>PayPal 1Q26 earnings release</t>
  </si>
  <si>
    <t>Debt</t>
  </si>
  <si>
    <t>Net debt / (cash)</t>
  </si>
  <si>
    <t>formula</t>
  </si>
  <si>
    <t>WACC</t>
  </si>
  <si>
    <t>%</t>
  </si>
  <si>
    <t>model assumption</t>
  </si>
  <si>
    <t>Terminal growth</t>
  </si>
  <si>
    <t>Cost of debt</t>
  </si>
  <si>
    <t>Tax rate</t>
  </si>
  <si>
    <t>PayPal / model assumption</t>
  </si>
  <si>
    <t>Minimum cash</t>
  </si>
  <si>
    <t>Acquisition price</t>
  </si>
  <si>
    <t>illustrative tuck-in acquisition</t>
  </si>
  <si>
    <t>Target revenue</t>
  </si>
  <si>
    <t>illustrative target</t>
  </si>
  <si>
    <t>Target EBITDA margin</t>
  </si>
  <si>
    <t>Cost synergies</t>
  </si>
  <si>
    <t>illustrative synergy estimate</t>
  </si>
  <si>
    <t>2026E share repurchases</t>
  </si>
  <si>
    <t>PayPal FY2026 guidance / model</t>
  </si>
  <si>
    <t>Venmo + checkout investment</t>
  </si>
  <si>
    <t>strategic reinvestment case</t>
  </si>
  <si>
    <t>Forecast Assumptions</t>
  </si>
  <si>
    <t>2026E</t>
  </si>
  <si>
    <t>2027E</t>
  </si>
  <si>
    <t>2028E</t>
  </si>
  <si>
    <t>2029E</t>
  </si>
  <si>
    <t>2030E</t>
  </si>
  <si>
    <t>Revenue growth</t>
  </si>
  <si>
    <t>Operating margin</t>
  </si>
  <si>
    <t>D&amp;A / revenue</t>
  </si>
  <si>
    <t>Capex / revenue</t>
  </si>
  <si>
    <t>Change in NWC / revenue</t>
  </si>
  <si>
    <t>Share repurchases</t>
  </si>
  <si>
    <t>Dividend / share</t>
  </si>
  <si>
    <t>Historical Financial Statement Analysis</t>
  </si>
  <si>
    <t>Income Statement</t>
  </si>
  <si>
    <t>2021A</t>
  </si>
  <si>
    <t>2022A</t>
  </si>
  <si>
    <t>2023A</t>
  </si>
  <si>
    <t>2024A</t>
  </si>
  <si>
    <t>2025A</t>
  </si>
  <si>
    <t>Revenue</t>
  </si>
  <si>
    <t>Operating income</t>
  </si>
  <si>
    <t>Net income</t>
  </si>
  <si>
    <t>Diluted EPS</t>
  </si>
  <si>
    <t>Cash Flow / Drivers</t>
  </si>
  <si>
    <t>2025A / 1Q26</t>
  </si>
  <si>
    <t>CFO</t>
  </si>
  <si>
    <t>Capex</t>
  </si>
  <si>
    <t>Free cash flow</t>
  </si>
  <si>
    <t>TPV ($bn)</t>
  </si>
  <si>
    <t>Active accounts (mm)</t>
  </si>
  <si>
    <t>1Q26 TPV ($bn)</t>
  </si>
  <si>
    <t>1Q26 branded checkout TPV growth FXN</t>
  </si>
  <si>
    <t>1Q26 Venmo TPV growth FXN</t>
  </si>
  <si>
    <t>Three-Statement Forecast</t>
  </si>
  <si>
    <t>Interest expense</t>
  </si>
  <si>
    <t>Pre-tax income</t>
  </si>
  <si>
    <t>Tax expense</t>
  </si>
  <si>
    <t>Cash Flow &amp; Balance Sheet</t>
  </si>
  <si>
    <t>D&amp;A</t>
  </si>
  <si>
    <t>Change in NWC</t>
  </si>
  <si>
    <t>Dividends</t>
  </si>
  <si>
    <t>Ending cash</t>
  </si>
  <si>
    <t>PP&amp;E</t>
  </si>
  <si>
    <t>Total assets</t>
  </si>
  <si>
    <t>Equity</t>
  </si>
  <si>
    <t>Debt / EBITDA</t>
  </si>
  <si>
    <t>Interest coverage</t>
  </si>
  <si>
    <t>Net debt / EBITDA</t>
  </si>
  <si>
    <t>Adjusted FCF conversion</t>
  </si>
  <si>
    <t>DCF Valuation</t>
  </si>
  <si>
    <t>UFCF Build</t>
  </si>
  <si>
    <t>EBIT</t>
  </si>
  <si>
    <t>Tax on EBIT</t>
  </si>
  <si>
    <t>NOPAT</t>
  </si>
  <si>
    <t>UFCF</t>
  </si>
  <si>
    <t>Discount factor</t>
  </si>
  <si>
    <t>PV of UFCF</t>
  </si>
  <si>
    <t>Valuation Output</t>
  </si>
  <si>
    <t>PV explicit UFCF</t>
  </si>
  <si>
    <t>Terminal value</t>
  </si>
  <si>
    <t>PV terminal value</t>
  </si>
  <si>
    <t>Enterprise value</t>
  </si>
  <si>
    <t>Equity value</t>
  </si>
  <si>
    <t>Implied share price</t>
  </si>
  <si>
    <t>Sensitivity: Implied Share Price</t>
  </si>
  <si>
    <t>8.0%</t>
  </si>
  <si>
    <t>8.5%</t>
  </si>
  <si>
    <t>9.0%</t>
  </si>
  <si>
    <t>9.5%</t>
  </si>
  <si>
    <t>10.0%</t>
  </si>
  <si>
    <t>Trading Comparables</t>
  </si>
  <si>
    <t>Company</t>
  </si>
  <si>
    <t>Ticker</t>
  </si>
  <si>
    <t>Market Cap</t>
  </si>
  <si>
    <t>Enterprise Value</t>
  </si>
  <si>
    <t>EBITDA</t>
  </si>
  <si>
    <t>EV / Revenue</t>
  </si>
  <si>
    <t>EV / EBITDA</t>
  </si>
  <si>
    <t>PayPal</t>
  </si>
  <si>
    <t>PYPL</t>
  </si>
  <si>
    <t>Block</t>
  </si>
  <si>
    <t>XYZ</t>
  </si>
  <si>
    <t>Adyen</t>
  </si>
  <si>
    <t>ADYEN</t>
  </si>
  <si>
    <t>Fiserv</t>
  </si>
  <si>
    <t>FI</t>
  </si>
  <si>
    <t>FIS</t>
  </si>
  <si>
    <t>Global Payments</t>
  </si>
  <si>
    <t>GPN</t>
  </si>
  <si>
    <t>Median</t>
  </si>
  <si>
    <t>Implied PYPL EV @ median revenue</t>
  </si>
  <si>
    <t>Implied PYPL EV @ median EBITDA</t>
  </si>
  <si>
    <t>Precedent Transactions</t>
  </si>
  <si>
    <t>Year</t>
  </si>
  <si>
    <t>Acquiror</t>
  </si>
  <si>
    <t>Target</t>
  </si>
  <si>
    <t>Consideration</t>
  </si>
  <si>
    <t>Rationale</t>
  </si>
  <si>
    <t>EV/Rev</t>
  </si>
  <si>
    <t>EV/EBITDA</t>
  </si>
  <si>
    <t>Honey</t>
  </si>
  <si>
    <t>Cash</t>
  </si>
  <si>
    <t>Shopping rewards / checkout engagement</t>
  </si>
  <si>
    <t>Afterpay</t>
  </si>
  <si>
    <t>Stock</t>
  </si>
  <si>
    <t>BNPL / consumer commerce</t>
  </si>
  <si>
    <t>Visa</t>
  </si>
  <si>
    <t>Pismo</t>
  </si>
  <si>
    <t>Issuer processing / banking infrastructure</t>
  </si>
  <si>
    <t>First Data</t>
  </si>
  <si>
    <t>Merchant acquiring scale</t>
  </si>
  <si>
    <t>TSYS</t>
  </si>
  <si>
    <t>Issuer processing + acquiring scale</t>
  </si>
  <si>
    <t>Worldline</t>
  </si>
  <si>
    <t>Ingenico</t>
  </si>
  <si>
    <t>Cash/stock</t>
  </si>
  <si>
    <t>Merchant acquiring consolidation</t>
  </si>
  <si>
    <t>Takeaway</t>
  </si>
  <si>
    <t>Large payment acquisitions carry strategic value but meaningful premium/integration risk.</t>
  </si>
  <si>
    <t>Implication</t>
  </si>
  <si>
    <t>Limit M&amp;A to disciplined tuck-ins that accelerate checkout, risk, identity, rewards, or Venmo monetization.</t>
  </si>
  <si>
    <t>Financing / Acquisition Alternatives</t>
  </si>
  <si>
    <t>Alternative</t>
  </si>
  <si>
    <t>2026E Size</t>
  </si>
  <si>
    <t>Funding</t>
  </si>
  <si>
    <t>Pro Forma Debt</t>
  </si>
  <si>
    <t>Net Debt/EBITDA</t>
  </si>
  <si>
    <t>Interest Coverage</t>
  </si>
  <si>
    <t>EPS Impact</t>
  </si>
  <si>
    <t>FCF + cash</t>
  </si>
  <si>
    <t>Accretive if below intrinsic value</t>
  </si>
  <si>
    <t>Do, valuation-sensitive</t>
  </si>
  <si>
    <t>Debt reduction</t>
  </si>
  <si>
    <t>cash / FCF</t>
  </si>
  <si>
    <t>Small dilution from fewer buybacks</t>
  </si>
  <si>
    <t>Selective</t>
  </si>
  <si>
    <t>Strategic acquisition</t>
  </si>
  <si>
    <t>50% cash / 50% debt</t>
  </si>
  <si>
    <t>Target-dependent</t>
  </si>
  <si>
    <t>Tuck-ins only</t>
  </si>
  <si>
    <t>reinvested opex/capex</t>
  </si>
  <si>
    <t>Near-term drag / higher growth option</t>
  </si>
  <si>
    <t>Top priority</t>
  </si>
  <si>
    <t>Basic Accretion / Dilution</t>
  </si>
  <si>
    <t>Acquisition case</t>
  </si>
  <si>
    <t>Capital return case</t>
  </si>
  <si>
    <t>Base</t>
  </si>
  <si>
    <t>Buyback</t>
  </si>
  <si>
    <t>Debt Reduction</t>
  </si>
  <si>
    <t>Investment Case</t>
  </si>
  <si>
    <t>Purchase price</t>
  </si>
  <si>
    <t>Cash %</t>
  </si>
  <si>
    <t>Debt %</t>
  </si>
  <si>
    <t>EPS</t>
  </si>
  <si>
    <t>EPS impact</t>
  </si>
  <si>
    <t>Target EBITDA</t>
  </si>
  <si>
    <t>Strategic note</t>
  </si>
  <si>
    <t>No action</t>
  </si>
  <si>
    <t>Share count reduction</t>
  </si>
  <si>
    <t>Balance sheet protection</t>
  </si>
  <si>
    <t>Core growth investment</t>
  </si>
  <si>
    <t>D&amp;A / amortization</t>
  </si>
  <si>
    <t>Pre-tax contribution</t>
  </si>
  <si>
    <t>Net income contribution</t>
  </si>
  <si>
    <t>Base PYPL net income</t>
  </si>
  <si>
    <t>PF net income</t>
  </si>
  <si>
    <t>EPS accretion / dilution</t>
  </si>
  <si>
    <t>Scenario and Sensitivity Tables</t>
  </si>
  <si>
    <t>2030E EPS Sensitivity</t>
  </si>
  <si>
    <t>16.0%</t>
  </si>
  <si>
    <t>18.0%</t>
  </si>
  <si>
    <t>20.0%</t>
  </si>
  <si>
    <t>22.0%</t>
  </si>
  <si>
    <t>24.0%</t>
  </si>
  <si>
    <t>Decision matrix</t>
  </si>
  <si>
    <t>Repurchase</t>
  </si>
  <si>
    <t>M&amp;A</t>
  </si>
  <si>
    <t>Venmo + checkout</t>
  </si>
  <si>
    <t>Financial return</t>
  </si>
  <si>
    <t>Strategic control</t>
  </si>
  <si>
    <t>Execution complexity</t>
  </si>
  <si>
    <t>Balance sheet risk</t>
  </si>
  <si>
    <t>Multiple expansion potential</t>
  </si>
  <si>
    <t>Weighted score</t>
  </si>
  <si>
    <t>Recommendation, Risks and Next Steps</t>
  </si>
  <si>
    <t>Priority</t>
  </si>
  <si>
    <t>Action</t>
  </si>
  <si>
    <t>1</t>
  </si>
  <si>
    <t>Invest in Venmo and branded checkout</t>
  </si>
  <si>
    <t>Best addresses growth, engagement and multiple expansion.</t>
  </si>
  <si>
    <t>2</t>
  </si>
  <si>
    <t>Continue valuation-sensitive repurchases</t>
  </si>
  <si>
    <t>FCF and low multiple support buybacks, but repurchases alone do not fix growth.</t>
  </si>
  <si>
    <t>3</t>
  </si>
  <si>
    <t>Selective debt reduction</t>
  </si>
  <si>
    <t>Manage maturities and preserve rating flexibility without over-allocating capital.</t>
  </si>
  <si>
    <t>4</t>
  </si>
  <si>
    <t>Small strategic tuck-ins only</t>
  </si>
  <si>
    <t>Avoid transformational M&amp;A; pursue technology/product gaps with clear synergies.</t>
  </si>
  <si>
    <t>Risks</t>
  </si>
  <si>
    <t>Branded checkout competition; macro slowdown; regulatory pressure; execution risk; M&amp;A integration risk</t>
  </si>
  <si>
    <t>Next steps</t>
  </si>
  <si>
    <t>Refresh with Q2 2026 results; improve peer data; diligence Venmo unit economics; update debt maturity profile</t>
  </si>
  <si>
    <t>Resume bullets</t>
  </si>
  <si>
    <t>Built integrated three-statement forecast, DCF, comps, precedent transactions, financing alternatives, accretion/dilution, and strategic pitch deck.</t>
  </si>
  <si>
    <t>Source Register</t>
  </si>
  <si>
    <t>Type</t>
  </si>
  <si>
    <t>URL / File</t>
  </si>
  <si>
    <t>Used for</t>
  </si>
  <si>
    <t>Date accessed</t>
  </si>
  <si>
    <t>PayPal 2025 Form 10-K</t>
  </si>
  <si>
    <t>Company filing</t>
  </si>
  <si>
    <t>https://s205.q4cdn.com/875401827/files/doc_financials/2025/q4/10-K.pdf</t>
  </si>
  <si>
    <t>Historical financials, debt, buybacks</t>
  </si>
  <si>
    <t>2026-07-28</t>
  </si>
  <si>
    <t>PayPal 1Q26 Earnings Release</t>
  </si>
  <si>
    <t>Company release</t>
  </si>
  <si>
    <t>https://s205.q4cdn.com/875401827/files/doc_financials/2026/q1/PYPL-1Q-26-Earnings-Release.pdf</t>
  </si>
  <si>
    <t>Latest quarter metrics, cash/debt, repurchases</t>
  </si>
  <si>
    <t>PayPal 1Q26 Earnings Presentation</t>
  </si>
  <si>
    <t>Company presentation</t>
  </si>
  <si>
    <t>https://s205.q4cdn.com/875401827/files/doc_financials/2026/q1/PYPL-1Q-26-Earnings-Presentation.pdf</t>
  </si>
  <si>
    <t>Guidance, Venmo and branded checkout metrics</t>
  </si>
  <si>
    <t>Market data snapshot</t>
  </si>
  <si>
    <t>Public market data</t>
  </si>
  <si>
    <t>Finance snapshot / Yahoo Finance / public sources</t>
  </si>
  <si>
    <t>Current price, market cap, peer multiples</t>
  </si>
  <si>
    <t>Precedent announcements</t>
  </si>
  <si>
    <t>Company press releases</t>
  </si>
  <si>
    <t>PayPal-Honey; Visa-Pismo; Block-Afterpay; Fiserv-First Data; Global Payments-TSYS</t>
  </si>
  <si>
    <t>Transaction values and rationale</t>
  </si>
  <si>
    <t>Important note</t>
  </si>
  <si>
    <t>This is an educational IB-style project. Several peer/transaction multiples are illustrative and should be updated with paid data sources before professional use.</t>
  </si>
  <si>
    <t>Files</t>
  </si>
  <si>
    <t>The resource folder contains downloaded company PDFs used to build the project.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</si>
</sst>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\$#,##0;[Red]\(\$#,##0\);\-"/>
    <numFmt numFmtId="165" formatCode="0.0%;[Red]\(0.0%\);\-"/>
    <numFmt numFmtId="166" formatCode="#,##0;[Red]\(#,##0\);\-"/>
    <numFmt numFmtId="167" formatCode="0.0\x;[Red]\(0.0\x\);\-"/>
  </numFmts>
  <fonts count="6" x14ac:knownFonts="1">
    <font>
      <sz val="11"/>
      <name val="Carlito"/>
    </font>
    <font>
      <sz val="10"/>
      <name val="Arial"/>
    </font>
    <font>
      <b/>
      <sz val="10"/>
      <name val="Arial"/>
    </font>
    <font>
      <b/>
      <sz val="14"/>
      <color rgb="FFFFFFFF"/>
      <name val="Arial"/>
    </font>
    <font>
      <b/>
      <sz val="10"/>
      <color rgb="FF0B1F3A"/>
      <name val="Arial"/>
    </font>
    <font>
      <sz val="10"/>
      <color rgb="FF0000FF"/>
      <name val="Arial"/>
    </font>
  </fonts>
  <fills count="4">
    <fill>
      <patternFill patternType="none"/>
    </fill>
    <fill>
      <patternFill patternType="gray125"/>
    </fill>
    <fill>
      <patternFill patternType="solid">
        <fgColor rgb="FF003087"/>
      </patternFill>
    </fill>
    <fill>
      <patternFill patternType="solid">
        <fgColor rgb="FF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 applyAlignment="1">
      <alignment wrapText="1"/>
    </xf>
    <xf numFmtId="0" fontId="2" fillId="0" borderId="0" xfId="0" applyFont="1" applyAlignment="1">
      <alignment wrapText="1"/>
    </xf>
    <xf numFmtId="164" fontId="1" fillId="0" borderId="0" xfId="0" applyNumberFormat="1" applyFont="1" applyAlignment="1">
      <alignment wrapText="1"/>
    </xf>
    <xf numFmtId="0" fontId="3" fillId="2" borderId="0" xfId="0" applyFont="1" applyFill="1" applyAlignment="1">
      <alignment wrapText="1"/>
    </xf>
    <xf numFmtId="0" fontId="4" fillId="3" borderId="0" xfId="0" applyFont="1" applyFill="1" applyAlignment="1">
      <alignment horizontal="center" wrapText="1"/>
    </xf>
    <xf numFmtId="164" fontId="5" fillId="0" borderId="0" xfId="0" applyNumberFormat="1" applyFont="1" applyAlignment="1">
      <alignment wrapText="1"/>
    </xf>
    <xf numFmtId="165" fontId="5" fillId="0" borderId="0" xfId="0" applyNumberFormat="1" applyFont="1" applyAlignment="1">
      <alignment wrapText="1"/>
    </xf>
    <xf numFmtId="166" fontId="1" fillId="0" borderId="0" xfId="0" applyNumberFormat="1" applyFont="1" applyAlignment="1">
      <alignment wrapText="1"/>
    </xf>
    <xf numFmtId="165" fontId="1" fillId="0" borderId="0" xfId="0" applyNumberFormat="1" applyFont="1" applyAlignment="1">
      <alignment wrapText="1"/>
    </xf>
    <xf numFmtId="166" fontId="4" fillId="3" borderId="0" xfId="0" applyNumberFormat="1" applyFont="1" applyFill="1" applyAlignment="1">
      <alignment horizontal="center" wrapText="1"/>
    </xf>
    <xf numFmtId="167" fontId="1" fillId="0" borderId="0" xfId="0" applyNumberFormat="1" applyFont="1" applyAlignment="1">
      <alignment wrapText="1"/>
    </xf>
    <xf numFmtId="164" fontId="4" fillId="3" borderId="0" xfId="0" applyNumberFormat="1" applyFont="1" applyFill="1" applyAlignment="1">
      <alignment horizontal="center" wrapText="1"/>
    </xf>
    <xf numFmtId="0" fontId="1" fillId="0" borderId="0" xfId="0" applyFont="1" applyAlignment="1">
      <alignment horizontal="left" wrapText="1"/>
    </xf>
    <xf numFmtId="164" fontId="1" fillId="0" borderId="0" xfId="0" applyNumberFormat="1" applyFont="1" applyAlignment="1">
      <alignment horizontal="lef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80"/>
  <sheetViews>
    <sheetView workbookViewId="0">
      <selection activeCell="B10" sqref="B10"/>
    </sheetView>
  </sheetViews>
  <sheetFormatPr defaultRowHeight="14.5" x14ac:dyDescent="0.35"/>
  <cols>
    <col min="1" max="1" width="42" bestFit="1" customWidth="1"/>
    <col min="2" max="2" width="80" customWidth="1"/>
    <col min="3" max="5" width="12" customWidth="1"/>
    <col min="6" max="9" width="18" customWidth="1"/>
  </cols>
  <sheetData>
    <row r="1" spans="1:11" ht="18.649999999999999" customHeight="1" x14ac:dyDescent="0.4">
      <c r="A1" s="4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 ht="26" x14ac:dyDescent="0.35">
      <c r="A2" s="2" t="s">
        <v>1</v>
      </c>
      <c r="B2" s="13" t="s">
        <v>2</v>
      </c>
      <c r="C2" s="1"/>
      <c r="D2" s="1"/>
      <c r="E2" s="1"/>
      <c r="F2" s="1"/>
      <c r="G2" s="1"/>
      <c r="H2" s="1"/>
      <c r="I2" s="1"/>
      <c r="J2" s="1"/>
      <c r="K2" s="1"/>
    </row>
    <row r="3" spans="1:11" ht="26" x14ac:dyDescent="0.35">
      <c r="A3" s="2" t="s">
        <v>3</v>
      </c>
      <c r="B3" s="13" t="s">
        <v>4</v>
      </c>
      <c r="C3" s="1"/>
      <c r="D3" s="1"/>
      <c r="E3" s="1"/>
      <c r="F3" s="1"/>
      <c r="G3" s="1"/>
      <c r="H3" s="1"/>
      <c r="I3" s="1"/>
      <c r="J3" s="1"/>
      <c r="K3" s="1"/>
    </row>
    <row r="4" spans="1:11" x14ac:dyDescent="0.35">
      <c r="A4" s="2" t="s">
        <v>5</v>
      </c>
      <c r="B4" s="14">
        <f>'4 DCF'!B22</f>
        <v>93.908818676750172</v>
      </c>
      <c r="C4" s="1"/>
      <c r="D4" s="1"/>
      <c r="E4" s="1"/>
      <c r="F4" s="1"/>
      <c r="G4" s="1"/>
      <c r="H4" s="1"/>
      <c r="I4" s="1"/>
      <c r="J4" s="1"/>
      <c r="K4" s="1"/>
    </row>
    <row r="5" spans="1:11" x14ac:dyDescent="0.35">
      <c r="A5" s="2" t="s">
        <v>6</v>
      </c>
      <c r="B5" s="14">
        <f>'1 Inputs'!B3</f>
        <v>56.07</v>
      </c>
      <c r="C5" s="1"/>
      <c r="D5" s="1"/>
      <c r="E5" s="1"/>
      <c r="F5" s="1"/>
      <c r="G5" s="1"/>
      <c r="H5" s="1"/>
      <c r="I5" s="1"/>
      <c r="J5" s="1"/>
      <c r="K5" s="1"/>
    </row>
    <row r="6" spans="1:11" x14ac:dyDescent="0.35">
      <c r="A6" s="2" t="s">
        <v>7</v>
      </c>
      <c r="B6" s="14">
        <f>'1 Inputs'!B18</f>
        <v>6000</v>
      </c>
      <c r="C6" s="1"/>
      <c r="D6" s="1"/>
      <c r="E6" s="1"/>
      <c r="F6" s="1"/>
      <c r="G6" s="1"/>
      <c r="H6" s="1"/>
      <c r="I6" s="1"/>
      <c r="J6" s="1"/>
      <c r="K6" s="1"/>
    </row>
    <row r="7" spans="1:11" x14ac:dyDescent="0.35">
      <c r="A7" s="2" t="s">
        <v>8</v>
      </c>
      <c r="B7" s="13" t="s">
        <v>9</v>
      </c>
      <c r="C7" s="1"/>
      <c r="D7" s="1"/>
      <c r="E7" s="1"/>
      <c r="F7" s="1"/>
      <c r="G7" s="1"/>
      <c r="H7" s="1"/>
      <c r="I7" s="1"/>
      <c r="J7" s="1"/>
      <c r="K7" s="1"/>
    </row>
    <row r="8" spans="1:11" ht="26" x14ac:dyDescent="0.35">
      <c r="A8" s="2" t="s">
        <v>10</v>
      </c>
      <c r="B8" s="13" t="s">
        <v>11</v>
      </c>
      <c r="C8" s="1"/>
      <c r="D8" s="1"/>
      <c r="E8" s="1"/>
      <c r="F8" s="1"/>
      <c r="G8" s="1"/>
      <c r="H8" s="1"/>
      <c r="I8" s="1"/>
      <c r="J8" s="1"/>
      <c r="K8" s="1"/>
    </row>
    <row r="9" spans="1:11" ht="26" x14ac:dyDescent="0.35">
      <c r="A9" s="2" t="s">
        <v>12</v>
      </c>
      <c r="B9" s="13" t="s">
        <v>13</v>
      </c>
      <c r="C9" s="1"/>
      <c r="D9" s="1"/>
      <c r="E9" s="1"/>
      <c r="F9" s="1"/>
      <c r="G9" s="1"/>
      <c r="H9" s="1"/>
      <c r="I9" s="1"/>
      <c r="J9" s="1"/>
      <c r="K9" s="1"/>
    </row>
    <row r="10" spans="1:11" x14ac:dyDescent="0.35">
      <c r="A10" s="2" t="s">
        <v>14</v>
      </c>
      <c r="B10" s="1" t="s">
        <v>15</v>
      </c>
      <c r="C10" s="1"/>
      <c r="D10" s="1"/>
      <c r="E10" s="1"/>
      <c r="F10" s="1"/>
      <c r="G10" s="1"/>
      <c r="H10" s="1"/>
      <c r="I10" s="1"/>
      <c r="J10" s="1"/>
      <c r="K10" s="1"/>
    </row>
    <row r="11" spans="1:11" x14ac:dyDescent="0.3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</row>
    <row r="12" spans="1:11" x14ac:dyDescent="0.35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</row>
    <row r="13" spans="1:11" x14ac:dyDescent="0.35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</row>
    <row r="14" spans="1:11" x14ac:dyDescent="0.35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</row>
    <row r="15" spans="1:11" x14ac:dyDescent="0.3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</row>
    <row r="16" spans="1:11" x14ac:dyDescent="0.35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</row>
    <row r="17" spans="1:11" x14ac:dyDescent="0.35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</row>
    <row r="18" spans="1:11" x14ac:dyDescent="0.35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</row>
    <row r="19" spans="1:11" x14ac:dyDescent="0.3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</row>
    <row r="20" spans="1:11" x14ac:dyDescent="0.3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</row>
    <row r="21" spans="1:11" x14ac:dyDescent="0.3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</row>
    <row r="22" spans="1:11" x14ac:dyDescent="0.3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</row>
    <row r="23" spans="1:11" x14ac:dyDescent="0.3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</row>
    <row r="24" spans="1:11" x14ac:dyDescent="0.3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</row>
    <row r="25" spans="1:11" x14ac:dyDescent="0.3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</row>
    <row r="26" spans="1:11" x14ac:dyDescent="0.3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</row>
    <row r="27" spans="1:11" x14ac:dyDescent="0.3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</row>
    <row r="28" spans="1:11" x14ac:dyDescent="0.3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</row>
    <row r="29" spans="1:11" x14ac:dyDescent="0.3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</row>
    <row r="30" spans="1:11" x14ac:dyDescent="0.3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</row>
    <row r="31" spans="1:11" x14ac:dyDescent="0.3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</row>
    <row r="32" spans="1:11" x14ac:dyDescent="0.3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</row>
    <row r="33" spans="1:11" x14ac:dyDescent="0.3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</row>
    <row r="34" spans="1:11" x14ac:dyDescent="0.3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</row>
    <row r="35" spans="1:11" x14ac:dyDescent="0.3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</row>
    <row r="36" spans="1:11" x14ac:dyDescent="0.3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</row>
    <row r="37" spans="1:11" x14ac:dyDescent="0.3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</row>
    <row r="38" spans="1:11" x14ac:dyDescent="0.3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</row>
    <row r="39" spans="1:11" x14ac:dyDescent="0.3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</row>
    <row r="40" spans="1:11" x14ac:dyDescent="0.3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</row>
    <row r="41" spans="1:11" x14ac:dyDescent="0.3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</row>
    <row r="42" spans="1:11" x14ac:dyDescent="0.3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</row>
    <row r="43" spans="1:11" x14ac:dyDescent="0.3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</row>
    <row r="44" spans="1:11" x14ac:dyDescent="0.3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</row>
    <row r="45" spans="1:11" x14ac:dyDescent="0.3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</row>
    <row r="46" spans="1:11" x14ac:dyDescent="0.3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</row>
    <row r="47" spans="1:11" x14ac:dyDescent="0.3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</row>
    <row r="48" spans="1:11" x14ac:dyDescent="0.3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</row>
    <row r="49" spans="1:11" x14ac:dyDescent="0.3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</row>
    <row r="50" spans="1:11" x14ac:dyDescent="0.3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</row>
    <row r="51" spans="1:11" x14ac:dyDescent="0.3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</row>
    <row r="52" spans="1:11" x14ac:dyDescent="0.3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</row>
    <row r="53" spans="1:11" x14ac:dyDescent="0.3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</row>
    <row r="54" spans="1:11" x14ac:dyDescent="0.3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</row>
    <row r="55" spans="1:11" x14ac:dyDescent="0.3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</row>
    <row r="56" spans="1:11" x14ac:dyDescent="0.3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</row>
    <row r="57" spans="1:11" x14ac:dyDescent="0.3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</row>
    <row r="58" spans="1:11" x14ac:dyDescent="0.3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</row>
    <row r="59" spans="1:11" x14ac:dyDescent="0.3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</row>
    <row r="60" spans="1:11" x14ac:dyDescent="0.3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</row>
    <row r="61" spans="1:11" x14ac:dyDescent="0.3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</row>
    <row r="62" spans="1:11" x14ac:dyDescent="0.3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</row>
    <row r="63" spans="1:11" x14ac:dyDescent="0.3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</row>
    <row r="64" spans="1:11" x14ac:dyDescent="0.3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</row>
    <row r="65" spans="1:11" x14ac:dyDescent="0.3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</row>
    <row r="66" spans="1:11" x14ac:dyDescent="0.3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</row>
    <row r="67" spans="1:11" x14ac:dyDescent="0.3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</row>
    <row r="68" spans="1:11" x14ac:dyDescent="0.3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</row>
    <row r="69" spans="1:11" x14ac:dyDescent="0.3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</row>
    <row r="70" spans="1:11" x14ac:dyDescent="0.3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</row>
    <row r="71" spans="1:11" x14ac:dyDescent="0.3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</row>
    <row r="72" spans="1:11" x14ac:dyDescent="0.3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</row>
    <row r="73" spans="1:11" x14ac:dyDescent="0.3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</row>
    <row r="74" spans="1:11" x14ac:dyDescent="0.3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</row>
    <row r="75" spans="1:11" x14ac:dyDescent="0.3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</row>
    <row r="76" spans="1:11" x14ac:dyDescent="0.3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</row>
    <row r="77" spans="1:11" x14ac:dyDescent="0.3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</row>
    <row r="78" spans="1:11" x14ac:dyDescent="0.3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</row>
    <row r="79" spans="1:11" x14ac:dyDescent="0.3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</row>
    <row r="80" spans="1:11" x14ac:dyDescent="0.3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80"/>
  <sheetViews>
    <sheetView workbookViewId="0">
      <selection activeCell="E17" sqref="E17"/>
    </sheetView>
  </sheetViews>
  <sheetFormatPr defaultRowHeight="14.5" x14ac:dyDescent="0.35"/>
  <cols>
    <col min="1" max="1" width="30.90625" bestFit="1" customWidth="1"/>
    <col min="2" max="3" width="18" customWidth="1"/>
    <col min="4" max="4" width="36" customWidth="1"/>
    <col min="5" max="9" width="18" customWidth="1"/>
  </cols>
  <sheetData>
    <row r="1" spans="1:11" ht="16" customHeight="1" x14ac:dyDescent="0.4">
      <c r="A1" s="4" t="s">
        <v>16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 x14ac:dyDescent="0.35">
      <c r="A2" s="5" t="s">
        <v>17</v>
      </c>
      <c r="B2" s="5" t="s">
        <v>18</v>
      </c>
      <c r="C2" s="5" t="s">
        <v>19</v>
      </c>
      <c r="D2" s="5" t="s">
        <v>20</v>
      </c>
      <c r="E2" s="1"/>
      <c r="F2" s="1"/>
      <c r="G2" s="1"/>
      <c r="H2" s="1"/>
      <c r="I2" s="1"/>
      <c r="J2" s="1"/>
      <c r="K2" s="1"/>
    </row>
    <row r="3" spans="1:11" x14ac:dyDescent="0.35">
      <c r="A3" s="1" t="s">
        <v>6</v>
      </c>
      <c r="B3" s="6">
        <v>56.07</v>
      </c>
      <c r="C3" s="1" t="s">
        <v>21</v>
      </c>
      <c r="D3" s="1" t="s">
        <v>22</v>
      </c>
      <c r="E3" s="1"/>
      <c r="F3" s="1"/>
      <c r="G3" s="1"/>
      <c r="H3" s="1"/>
      <c r="I3" s="1"/>
      <c r="J3" s="1"/>
      <c r="K3" s="1"/>
    </row>
    <row r="4" spans="1:11" x14ac:dyDescent="0.35">
      <c r="A4" s="1" t="s">
        <v>23</v>
      </c>
      <c r="B4" s="6">
        <v>920</v>
      </c>
      <c r="C4" s="1" t="s">
        <v>24</v>
      </c>
      <c r="D4" s="1" t="s">
        <v>25</v>
      </c>
      <c r="E4" s="1"/>
      <c r="F4" s="1"/>
      <c r="G4" s="1"/>
      <c r="H4" s="1"/>
      <c r="I4" s="1"/>
      <c r="J4" s="1"/>
      <c r="K4" s="1"/>
    </row>
    <row r="5" spans="1:11" x14ac:dyDescent="0.35">
      <c r="A5" s="1" t="s">
        <v>26</v>
      </c>
      <c r="B5" s="6">
        <v>51584</v>
      </c>
      <c r="C5" s="1" t="s">
        <v>27</v>
      </c>
      <c r="D5" s="1" t="s">
        <v>22</v>
      </c>
      <c r="E5" s="1"/>
      <c r="F5" s="1"/>
      <c r="G5" s="1"/>
      <c r="H5" s="1"/>
      <c r="I5" s="1"/>
      <c r="J5" s="1"/>
      <c r="K5" s="1"/>
    </row>
    <row r="6" spans="1:11" x14ac:dyDescent="0.35">
      <c r="A6" s="1" t="s">
        <v>28</v>
      </c>
      <c r="B6" s="6">
        <v>13500</v>
      </c>
      <c r="C6" s="1" t="s">
        <v>27</v>
      </c>
      <c r="D6" s="1" t="s">
        <v>29</v>
      </c>
      <c r="E6" s="1"/>
      <c r="F6" s="1"/>
      <c r="G6" s="1"/>
      <c r="H6" s="1"/>
      <c r="I6" s="1"/>
      <c r="J6" s="1"/>
      <c r="K6" s="1"/>
    </row>
    <row r="7" spans="1:11" x14ac:dyDescent="0.35">
      <c r="A7" s="1" t="s">
        <v>30</v>
      </c>
      <c r="B7" s="6">
        <v>11600</v>
      </c>
      <c r="C7" s="1" t="s">
        <v>27</v>
      </c>
      <c r="D7" s="1" t="s">
        <v>29</v>
      </c>
      <c r="E7" s="1"/>
      <c r="F7" s="1"/>
      <c r="G7" s="1"/>
      <c r="H7" s="1"/>
      <c r="I7" s="1"/>
      <c r="J7" s="1"/>
      <c r="K7" s="1"/>
    </row>
    <row r="8" spans="1:11" x14ac:dyDescent="0.35">
      <c r="A8" s="1" t="s">
        <v>31</v>
      </c>
      <c r="B8" s="7">
        <f>B7-B6</f>
        <v>-1900</v>
      </c>
      <c r="C8" s="1" t="s">
        <v>27</v>
      </c>
      <c r="D8" s="1" t="s">
        <v>32</v>
      </c>
      <c r="E8" s="1"/>
      <c r="F8" s="1"/>
      <c r="G8" s="1"/>
      <c r="H8" s="1"/>
      <c r="I8" s="1"/>
      <c r="J8" s="1"/>
      <c r="K8" s="1"/>
    </row>
    <row r="9" spans="1:11" x14ac:dyDescent="0.35">
      <c r="A9" s="1" t="s">
        <v>33</v>
      </c>
      <c r="B9" s="7">
        <v>9.2499999999999999E-2</v>
      </c>
      <c r="C9" s="1" t="s">
        <v>34</v>
      </c>
      <c r="D9" s="1" t="s">
        <v>35</v>
      </c>
      <c r="E9" s="1"/>
      <c r="F9" s="1"/>
      <c r="G9" s="1"/>
      <c r="H9" s="1"/>
      <c r="I9" s="1"/>
      <c r="J9" s="1"/>
      <c r="K9" s="1"/>
    </row>
    <row r="10" spans="1:11" x14ac:dyDescent="0.35">
      <c r="A10" s="1" t="s">
        <v>36</v>
      </c>
      <c r="B10" s="7">
        <v>2.5000000000000001E-2</v>
      </c>
      <c r="C10" s="1" t="s">
        <v>34</v>
      </c>
      <c r="D10" s="1" t="s">
        <v>35</v>
      </c>
      <c r="E10" s="1"/>
      <c r="F10" s="1"/>
      <c r="G10" s="1"/>
      <c r="H10" s="1"/>
      <c r="I10" s="1"/>
      <c r="J10" s="1"/>
      <c r="K10" s="1"/>
    </row>
    <row r="11" spans="1:11" x14ac:dyDescent="0.35">
      <c r="A11" s="1" t="s">
        <v>37</v>
      </c>
      <c r="B11" s="7">
        <v>5.2499999999999998E-2</v>
      </c>
      <c r="C11" s="1" t="s">
        <v>34</v>
      </c>
      <c r="D11" s="1" t="s">
        <v>35</v>
      </c>
      <c r="E11" s="1"/>
      <c r="F11" s="1"/>
      <c r="G11" s="1"/>
      <c r="H11" s="1"/>
      <c r="I11" s="1"/>
      <c r="J11" s="1"/>
      <c r="K11" s="1"/>
    </row>
    <row r="12" spans="1:11" x14ac:dyDescent="0.35">
      <c r="A12" s="1" t="s">
        <v>38</v>
      </c>
      <c r="B12" s="6">
        <v>0.20499999999999999</v>
      </c>
      <c r="C12" s="1" t="s">
        <v>34</v>
      </c>
      <c r="D12" s="1" t="s">
        <v>39</v>
      </c>
      <c r="E12" s="1"/>
      <c r="F12" s="1"/>
      <c r="G12" s="1"/>
      <c r="H12" s="1"/>
      <c r="I12" s="1"/>
      <c r="J12" s="1"/>
      <c r="K12" s="1"/>
    </row>
    <row r="13" spans="1:11" x14ac:dyDescent="0.35">
      <c r="A13" s="1" t="s">
        <v>40</v>
      </c>
      <c r="B13" s="6">
        <v>6000</v>
      </c>
      <c r="C13" s="1" t="s">
        <v>27</v>
      </c>
      <c r="D13" s="1" t="s">
        <v>35</v>
      </c>
      <c r="E13" s="1"/>
      <c r="F13" s="1"/>
      <c r="G13" s="1"/>
      <c r="H13" s="1"/>
      <c r="I13" s="1"/>
      <c r="J13" s="1"/>
      <c r="K13" s="1"/>
    </row>
    <row r="14" spans="1:11" x14ac:dyDescent="0.35">
      <c r="A14" s="1" t="s">
        <v>41</v>
      </c>
      <c r="B14" s="6">
        <v>3000</v>
      </c>
      <c r="C14" s="1" t="s">
        <v>27</v>
      </c>
      <c r="D14" s="1" t="s">
        <v>42</v>
      </c>
      <c r="E14" s="1"/>
      <c r="F14" s="1"/>
      <c r="G14" s="1"/>
      <c r="H14" s="1"/>
      <c r="I14" s="1"/>
      <c r="J14" s="1"/>
      <c r="K14" s="1"/>
    </row>
    <row r="15" spans="1:11" x14ac:dyDescent="0.35">
      <c r="A15" s="1" t="s">
        <v>43</v>
      </c>
      <c r="B15" s="6">
        <v>800</v>
      </c>
      <c r="C15" s="1" t="s">
        <v>27</v>
      </c>
      <c r="D15" s="1" t="s">
        <v>44</v>
      </c>
      <c r="E15" s="1"/>
      <c r="F15" s="1"/>
      <c r="G15" s="1"/>
      <c r="H15" s="1"/>
      <c r="I15" s="1"/>
      <c r="J15" s="1"/>
      <c r="K15" s="1"/>
    </row>
    <row r="16" spans="1:11" x14ac:dyDescent="0.35">
      <c r="A16" s="1" t="s">
        <v>45</v>
      </c>
      <c r="B16" s="6">
        <v>0.25</v>
      </c>
      <c r="C16" s="1" t="s">
        <v>34</v>
      </c>
      <c r="D16" s="1" t="s">
        <v>44</v>
      </c>
      <c r="E16" s="1"/>
      <c r="F16" s="1"/>
      <c r="G16" s="1"/>
      <c r="H16" s="1"/>
      <c r="I16" s="1"/>
      <c r="J16" s="1"/>
      <c r="K16" s="1"/>
    </row>
    <row r="17" spans="1:11" x14ac:dyDescent="0.35">
      <c r="A17" s="1" t="s">
        <v>46</v>
      </c>
      <c r="B17" s="6">
        <v>75</v>
      </c>
      <c r="C17" s="1" t="s">
        <v>27</v>
      </c>
      <c r="D17" s="1" t="s">
        <v>47</v>
      </c>
      <c r="E17" s="1"/>
      <c r="F17" s="1"/>
      <c r="G17" s="1"/>
      <c r="H17" s="1"/>
      <c r="I17" s="1"/>
      <c r="J17" s="1"/>
      <c r="K17" s="1"/>
    </row>
    <row r="18" spans="1:11" x14ac:dyDescent="0.35">
      <c r="A18" s="1" t="s">
        <v>48</v>
      </c>
      <c r="B18" s="6">
        <v>6000</v>
      </c>
      <c r="C18" s="1" t="s">
        <v>27</v>
      </c>
      <c r="D18" s="1" t="s">
        <v>49</v>
      </c>
      <c r="E18" s="1"/>
      <c r="F18" s="1"/>
      <c r="G18" s="1"/>
      <c r="H18" s="1"/>
      <c r="I18" s="1"/>
      <c r="J18" s="1"/>
      <c r="K18" s="1"/>
    </row>
    <row r="19" spans="1:11" x14ac:dyDescent="0.35">
      <c r="A19" s="1" t="s">
        <v>50</v>
      </c>
      <c r="B19" s="6">
        <v>1000</v>
      </c>
      <c r="C19" s="1" t="s">
        <v>27</v>
      </c>
      <c r="D19" s="1" t="s">
        <v>51</v>
      </c>
      <c r="E19" s="1"/>
      <c r="F19" s="1"/>
      <c r="G19" s="1"/>
      <c r="H19" s="1"/>
      <c r="I19" s="1"/>
      <c r="J19" s="1"/>
      <c r="K19" s="1"/>
    </row>
    <row r="20" spans="1:11" x14ac:dyDescent="0.3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</row>
    <row r="21" spans="1:11" x14ac:dyDescent="0.3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</row>
    <row r="22" spans="1:11" x14ac:dyDescent="0.35">
      <c r="A22" s="5" t="s">
        <v>52</v>
      </c>
      <c r="B22" s="5" t="s">
        <v>53</v>
      </c>
      <c r="C22" s="5" t="s">
        <v>54</v>
      </c>
      <c r="D22" s="5" t="s">
        <v>55</v>
      </c>
      <c r="E22" s="5" t="s">
        <v>56</v>
      </c>
      <c r="F22" s="5" t="s">
        <v>57</v>
      </c>
      <c r="G22" s="1"/>
      <c r="H22" s="1"/>
      <c r="I22" s="1"/>
      <c r="J22" s="1"/>
      <c r="K22" s="1"/>
    </row>
    <row r="23" spans="1:11" x14ac:dyDescent="0.35">
      <c r="A23" s="1" t="s">
        <v>58</v>
      </c>
      <c r="B23" s="7">
        <v>0.05</v>
      </c>
      <c r="C23" s="7">
        <v>5.5E-2</v>
      </c>
      <c r="D23" s="7">
        <v>0.06</v>
      </c>
      <c r="E23" s="7">
        <v>5.5E-2</v>
      </c>
      <c r="F23" s="7">
        <v>0.05</v>
      </c>
      <c r="G23" s="1"/>
      <c r="H23" s="1"/>
      <c r="I23" s="1"/>
      <c r="J23" s="1"/>
      <c r="K23" s="1"/>
    </row>
    <row r="24" spans="1:11" x14ac:dyDescent="0.35">
      <c r="A24" s="1" t="s">
        <v>59</v>
      </c>
      <c r="B24" s="7">
        <v>0.182</v>
      </c>
      <c r="C24" s="7">
        <v>0.185</v>
      </c>
      <c r="D24" s="7">
        <v>0.19</v>
      </c>
      <c r="E24" s="7">
        <v>0.19500000000000001</v>
      </c>
      <c r="F24" s="7">
        <v>0.2</v>
      </c>
      <c r="G24" s="1"/>
      <c r="H24" s="1"/>
      <c r="I24" s="1"/>
      <c r="J24" s="1"/>
      <c r="K24" s="1"/>
    </row>
    <row r="25" spans="1:11" x14ac:dyDescent="0.35">
      <c r="A25" s="1" t="s">
        <v>60</v>
      </c>
      <c r="B25" s="7">
        <v>2.9000000000000001E-2</v>
      </c>
      <c r="C25" s="7">
        <v>2.8000000000000001E-2</v>
      </c>
      <c r="D25" s="7">
        <v>2.8000000000000001E-2</v>
      </c>
      <c r="E25" s="7">
        <v>2.7E-2</v>
      </c>
      <c r="F25" s="7">
        <v>2.7E-2</v>
      </c>
      <c r="G25" s="1"/>
      <c r="H25" s="1"/>
      <c r="I25" s="1"/>
      <c r="J25" s="1"/>
      <c r="K25" s="1"/>
    </row>
    <row r="26" spans="1:11" x14ac:dyDescent="0.35">
      <c r="A26" s="1" t="s">
        <v>61</v>
      </c>
      <c r="B26" s="7">
        <v>0.03</v>
      </c>
      <c r="C26" s="7">
        <v>0.03</v>
      </c>
      <c r="D26" s="7">
        <v>0.03</v>
      </c>
      <c r="E26" s="7">
        <v>0.03</v>
      </c>
      <c r="F26" s="7">
        <v>0.03</v>
      </c>
      <c r="G26" s="1"/>
      <c r="H26" s="1"/>
      <c r="I26" s="1"/>
      <c r="J26" s="1"/>
      <c r="K26" s="1"/>
    </row>
    <row r="27" spans="1:11" x14ac:dyDescent="0.35">
      <c r="A27" s="1" t="s">
        <v>62</v>
      </c>
      <c r="B27" s="7">
        <v>5.0000000000000001E-3</v>
      </c>
      <c r="C27" s="7">
        <v>6.0000000000000001E-3</v>
      </c>
      <c r="D27" s="7">
        <v>6.0000000000000001E-3</v>
      </c>
      <c r="E27" s="7">
        <v>6.0000000000000001E-3</v>
      </c>
      <c r="F27" s="7">
        <v>6.0000000000000001E-3</v>
      </c>
      <c r="G27" s="1"/>
      <c r="H27" s="1"/>
      <c r="I27" s="1"/>
      <c r="J27" s="1"/>
      <c r="K27" s="1"/>
    </row>
    <row r="28" spans="1:11" x14ac:dyDescent="0.35">
      <c r="A28" s="1" t="s">
        <v>63</v>
      </c>
      <c r="B28" s="6">
        <v>6000</v>
      </c>
      <c r="C28" s="6">
        <v>4500</v>
      </c>
      <c r="D28" s="6">
        <v>4000</v>
      </c>
      <c r="E28" s="6">
        <v>3500</v>
      </c>
      <c r="F28" s="6">
        <v>3000</v>
      </c>
      <c r="G28" s="1"/>
      <c r="H28" s="1"/>
      <c r="I28" s="1"/>
      <c r="J28" s="1"/>
      <c r="K28" s="1"/>
    </row>
    <row r="29" spans="1:11" x14ac:dyDescent="0.35">
      <c r="A29" s="1" t="s">
        <v>64</v>
      </c>
      <c r="B29" s="6">
        <v>0.56000000000000005</v>
      </c>
      <c r="C29" s="6">
        <v>0.57999999999999996</v>
      </c>
      <c r="D29" s="6">
        <v>0.6</v>
      </c>
      <c r="E29" s="6">
        <v>0.63</v>
      </c>
      <c r="F29" s="6">
        <v>0.66</v>
      </c>
      <c r="G29" s="1"/>
      <c r="H29" s="1"/>
      <c r="I29" s="1"/>
      <c r="J29" s="1"/>
      <c r="K29" s="1"/>
    </row>
    <row r="30" spans="1:11" x14ac:dyDescent="0.3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</row>
    <row r="31" spans="1:11" x14ac:dyDescent="0.3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</row>
    <row r="32" spans="1:11" x14ac:dyDescent="0.3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</row>
    <row r="33" spans="1:11" x14ac:dyDescent="0.3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</row>
    <row r="34" spans="1:11" x14ac:dyDescent="0.3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</row>
    <row r="35" spans="1:11" x14ac:dyDescent="0.3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</row>
    <row r="36" spans="1:11" x14ac:dyDescent="0.3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</row>
    <row r="37" spans="1:11" x14ac:dyDescent="0.3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</row>
    <row r="38" spans="1:11" x14ac:dyDescent="0.3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</row>
    <row r="39" spans="1:11" x14ac:dyDescent="0.3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</row>
    <row r="40" spans="1:11" x14ac:dyDescent="0.3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</row>
    <row r="41" spans="1:11" x14ac:dyDescent="0.3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</row>
    <row r="42" spans="1:11" x14ac:dyDescent="0.3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</row>
    <row r="43" spans="1:11" x14ac:dyDescent="0.3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</row>
    <row r="44" spans="1:11" x14ac:dyDescent="0.3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</row>
    <row r="45" spans="1:11" x14ac:dyDescent="0.3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</row>
    <row r="46" spans="1:11" x14ac:dyDescent="0.3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</row>
    <row r="47" spans="1:11" x14ac:dyDescent="0.3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</row>
    <row r="48" spans="1:11" x14ac:dyDescent="0.3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</row>
    <row r="49" spans="1:11" x14ac:dyDescent="0.3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</row>
    <row r="50" spans="1:11" x14ac:dyDescent="0.3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</row>
    <row r="51" spans="1:11" x14ac:dyDescent="0.3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</row>
    <row r="52" spans="1:11" x14ac:dyDescent="0.3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</row>
    <row r="53" spans="1:11" x14ac:dyDescent="0.3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</row>
    <row r="54" spans="1:11" x14ac:dyDescent="0.3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</row>
    <row r="55" spans="1:11" x14ac:dyDescent="0.3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</row>
    <row r="56" spans="1:11" x14ac:dyDescent="0.3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</row>
    <row r="57" spans="1:11" x14ac:dyDescent="0.3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</row>
    <row r="58" spans="1:11" x14ac:dyDescent="0.3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</row>
    <row r="59" spans="1:11" x14ac:dyDescent="0.3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</row>
    <row r="60" spans="1:11" x14ac:dyDescent="0.3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</row>
    <row r="61" spans="1:11" x14ac:dyDescent="0.3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</row>
    <row r="62" spans="1:11" x14ac:dyDescent="0.3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</row>
    <row r="63" spans="1:11" x14ac:dyDescent="0.3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</row>
    <row r="64" spans="1:11" x14ac:dyDescent="0.3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</row>
    <row r="65" spans="1:11" x14ac:dyDescent="0.3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</row>
    <row r="66" spans="1:11" x14ac:dyDescent="0.3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</row>
    <row r="67" spans="1:11" x14ac:dyDescent="0.3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</row>
    <row r="68" spans="1:11" x14ac:dyDescent="0.3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</row>
    <row r="69" spans="1:11" x14ac:dyDescent="0.3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</row>
    <row r="70" spans="1:11" x14ac:dyDescent="0.3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</row>
    <row r="71" spans="1:11" x14ac:dyDescent="0.3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</row>
    <row r="72" spans="1:11" x14ac:dyDescent="0.3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</row>
    <row r="73" spans="1:11" x14ac:dyDescent="0.3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</row>
    <row r="74" spans="1:11" x14ac:dyDescent="0.3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</row>
    <row r="75" spans="1:11" x14ac:dyDescent="0.3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</row>
    <row r="76" spans="1:11" x14ac:dyDescent="0.3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</row>
    <row r="77" spans="1:11" x14ac:dyDescent="0.3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</row>
    <row r="78" spans="1:11" x14ac:dyDescent="0.3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</row>
    <row r="79" spans="1:11" x14ac:dyDescent="0.3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</row>
    <row r="80" spans="1:11" x14ac:dyDescent="0.3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80"/>
  <sheetViews>
    <sheetView workbookViewId="0"/>
  </sheetViews>
  <sheetFormatPr defaultRowHeight="14.5" x14ac:dyDescent="0.35"/>
  <cols>
    <col min="1" max="1" width="49.6328125" bestFit="1" customWidth="1"/>
    <col min="2" max="9" width="18" customWidth="1"/>
  </cols>
  <sheetData>
    <row r="1" spans="1:11" ht="16" customHeight="1" x14ac:dyDescent="0.4">
      <c r="A1" s="4" t="s">
        <v>65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 x14ac:dyDescent="0.35">
      <c r="A2" s="1"/>
      <c r="B2" s="1"/>
      <c r="C2" s="1"/>
      <c r="D2" s="1"/>
      <c r="E2" s="1"/>
      <c r="F2" s="1"/>
      <c r="G2" s="1"/>
      <c r="H2" s="1"/>
      <c r="I2" s="1"/>
      <c r="J2" s="1"/>
      <c r="K2" s="1"/>
    </row>
    <row r="3" spans="1:11" x14ac:dyDescent="0.35">
      <c r="A3" s="5" t="s">
        <v>66</v>
      </c>
      <c r="B3" s="5" t="s">
        <v>67</v>
      </c>
      <c r="C3" s="5" t="s">
        <v>68</v>
      </c>
      <c r="D3" s="5" t="s">
        <v>69</v>
      </c>
      <c r="E3" s="5" t="s">
        <v>70</v>
      </c>
      <c r="F3" s="5" t="s">
        <v>71</v>
      </c>
      <c r="G3" s="1"/>
      <c r="H3" s="1"/>
      <c r="I3" s="1"/>
      <c r="J3" s="1"/>
      <c r="K3" s="1"/>
    </row>
    <row r="4" spans="1:11" x14ac:dyDescent="0.35">
      <c r="A4" s="1" t="s">
        <v>72</v>
      </c>
      <c r="B4" s="8">
        <v>25371</v>
      </c>
      <c r="C4" s="8">
        <v>27518</v>
      </c>
      <c r="D4" s="8">
        <v>29771</v>
      </c>
      <c r="E4" s="8">
        <v>31797</v>
      </c>
      <c r="F4" s="8">
        <v>33172</v>
      </c>
      <c r="G4" s="1"/>
      <c r="H4" s="1"/>
      <c r="I4" s="1"/>
      <c r="J4" s="1"/>
      <c r="K4" s="1"/>
    </row>
    <row r="5" spans="1:11" x14ac:dyDescent="0.35">
      <c r="A5" s="1" t="s">
        <v>58</v>
      </c>
      <c r="B5" s="9"/>
      <c r="C5" s="9">
        <v>8.5000000000000006E-2</v>
      </c>
      <c r="D5" s="9">
        <v>8.2000000000000003E-2</v>
      </c>
      <c r="E5" s="9">
        <v>6.8000000000000005E-2</v>
      </c>
      <c r="F5" s="9">
        <v>4.2999999999999997E-2</v>
      </c>
      <c r="G5" s="1"/>
      <c r="H5" s="1"/>
      <c r="I5" s="1"/>
      <c r="J5" s="1"/>
      <c r="K5" s="1"/>
    </row>
    <row r="6" spans="1:11" x14ac:dyDescent="0.35">
      <c r="A6" s="1" t="s">
        <v>73</v>
      </c>
      <c r="B6" s="8">
        <v>4262</v>
      </c>
      <c r="C6" s="8">
        <v>3837</v>
      </c>
      <c r="D6" s="8">
        <v>5028</v>
      </c>
      <c r="E6" s="8">
        <v>5325</v>
      </c>
      <c r="F6" s="8">
        <v>6065</v>
      </c>
      <c r="G6" s="1"/>
      <c r="H6" s="1"/>
      <c r="I6" s="1"/>
      <c r="J6" s="1"/>
      <c r="K6" s="1"/>
    </row>
    <row r="7" spans="1:11" x14ac:dyDescent="0.35">
      <c r="A7" s="1" t="s">
        <v>59</v>
      </c>
      <c r="B7" s="9">
        <v>0.16800000000000001</v>
      </c>
      <c r="C7" s="9">
        <v>0.13900000000000001</v>
      </c>
      <c r="D7" s="9">
        <v>0.16900000000000001</v>
      </c>
      <c r="E7" s="9">
        <v>0.16700000000000001</v>
      </c>
      <c r="F7" s="9">
        <v>0.183</v>
      </c>
      <c r="G7" s="1"/>
      <c r="H7" s="1"/>
      <c r="I7" s="1"/>
      <c r="J7" s="1"/>
      <c r="K7" s="1"/>
    </row>
    <row r="8" spans="1:11" x14ac:dyDescent="0.35">
      <c r="A8" s="1" t="s">
        <v>74</v>
      </c>
      <c r="B8" s="8">
        <v>4169</v>
      </c>
      <c r="C8" s="8">
        <v>2419</v>
      </c>
      <c r="D8" s="8">
        <v>4246</v>
      </c>
      <c r="E8" s="8">
        <v>4147</v>
      </c>
      <c r="F8" s="8">
        <v>5233</v>
      </c>
      <c r="G8" s="1"/>
      <c r="H8" s="1"/>
      <c r="I8" s="1"/>
      <c r="J8" s="1"/>
      <c r="K8" s="1"/>
    </row>
    <row r="9" spans="1:11" x14ac:dyDescent="0.35">
      <c r="A9" s="1" t="s">
        <v>75</v>
      </c>
      <c r="B9" s="8">
        <v>3.52</v>
      </c>
      <c r="C9" s="8">
        <v>2.09</v>
      </c>
      <c r="D9" s="8">
        <v>3.84</v>
      </c>
      <c r="E9" s="8">
        <v>3.99</v>
      </c>
      <c r="F9" s="8">
        <v>5.41</v>
      </c>
      <c r="G9" s="1"/>
      <c r="H9" s="1"/>
      <c r="I9" s="1"/>
      <c r="J9" s="1"/>
      <c r="K9" s="1"/>
    </row>
    <row r="10" spans="1:11" x14ac:dyDescent="0.35">
      <c r="A10" s="1" t="s">
        <v>23</v>
      </c>
      <c r="B10" s="8">
        <v>1185</v>
      </c>
      <c r="C10" s="8">
        <v>1157</v>
      </c>
      <c r="D10" s="8">
        <v>1107</v>
      </c>
      <c r="E10" s="8">
        <v>1039</v>
      </c>
      <c r="F10" s="8">
        <v>968</v>
      </c>
      <c r="G10" s="1"/>
      <c r="H10" s="1"/>
      <c r="I10" s="1"/>
      <c r="J10" s="1"/>
      <c r="K10" s="1"/>
    </row>
    <row r="11" spans="1:11" x14ac:dyDescent="0.35">
      <c r="A11" s="1"/>
      <c r="B11" s="8"/>
      <c r="C11" s="8"/>
      <c r="D11" s="8"/>
      <c r="E11" s="8"/>
      <c r="F11" s="8"/>
      <c r="G11" s="1"/>
      <c r="H11" s="1"/>
      <c r="I11" s="1"/>
      <c r="J11" s="1"/>
      <c r="K11" s="1"/>
    </row>
    <row r="12" spans="1:11" x14ac:dyDescent="0.35">
      <c r="A12" s="5" t="s">
        <v>76</v>
      </c>
      <c r="B12" s="10" t="s">
        <v>67</v>
      </c>
      <c r="C12" s="10" t="s">
        <v>68</v>
      </c>
      <c r="D12" s="10" t="s">
        <v>69</v>
      </c>
      <c r="E12" s="10" t="s">
        <v>70</v>
      </c>
      <c r="F12" s="10" t="s">
        <v>77</v>
      </c>
      <c r="G12" s="1"/>
      <c r="H12" s="1"/>
      <c r="I12" s="1"/>
      <c r="J12" s="1"/>
      <c r="K12" s="1"/>
    </row>
    <row r="13" spans="1:11" x14ac:dyDescent="0.35">
      <c r="A13" s="1" t="s">
        <v>78</v>
      </c>
      <c r="B13" s="8">
        <v>5797</v>
      </c>
      <c r="C13" s="8">
        <v>5813</v>
      </c>
      <c r="D13" s="8">
        <v>4843</v>
      </c>
      <c r="E13" s="8">
        <v>7450</v>
      </c>
      <c r="F13" s="8">
        <v>6416</v>
      </c>
      <c r="G13" s="1"/>
      <c r="H13" s="1"/>
      <c r="I13" s="1"/>
      <c r="J13" s="1"/>
      <c r="K13" s="1"/>
    </row>
    <row r="14" spans="1:11" x14ac:dyDescent="0.35">
      <c r="A14" s="1" t="s">
        <v>79</v>
      </c>
      <c r="B14" s="8">
        <v>-908</v>
      </c>
      <c r="C14" s="8">
        <v>-706</v>
      </c>
      <c r="D14" s="8">
        <v>-623</v>
      </c>
      <c r="E14" s="8">
        <v>-683</v>
      </c>
      <c r="F14" s="8">
        <v>-852</v>
      </c>
      <c r="G14" s="1"/>
      <c r="H14" s="1"/>
      <c r="I14" s="1"/>
      <c r="J14" s="1"/>
      <c r="K14" s="1"/>
    </row>
    <row r="15" spans="1:11" x14ac:dyDescent="0.35">
      <c r="A15" s="1" t="s">
        <v>80</v>
      </c>
      <c r="B15" s="8">
        <v>4889</v>
      </c>
      <c r="C15" s="8">
        <v>5107</v>
      </c>
      <c r="D15" s="8">
        <v>4220</v>
      </c>
      <c r="E15" s="8">
        <v>6767</v>
      </c>
      <c r="F15" s="8">
        <v>5564</v>
      </c>
      <c r="G15" s="1"/>
      <c r="H15" s="1"/>
      <c r="I15" s="1"/>
      <c r="J15" s="1"/>
      <c r="K15" s="1"/>
    </row>
    <row r="16" spans="1:11" x14ac:dyDescent="0.35">
      <c r="A16" s="1" t="s">
        <v>63</v>
      </c>
      <c r="B16" s="8"/>
      <c r="C16" s="8"/>
      <c r="D16" s="8">
        <v>5002</v>
      </c>
      <c r="E16" s="8">
        <v>6047</v>
      </c>
      <c r="F16" s="8">
        <v>6052</v>
      </c>
      <c r="G16" s="1"/>
      <c r="H16" s="1"/>
      <c r="I16" s="1"/>
      <c r="J16" s="1"/>
      <c r="K16" s="1"/>
    </row>
    <row r="17" spans="1:11" x14ac:dyDescent="0.35">
      <c r="A17" s="1" t="s">
        <v>81</v>
      </c>
      <c r="B17" s="8"/>
      <c r="C17" s="8"/>
      <c r="D17" s="8"/>
      <c r="E17" s="8">
        <v>1675</v>
      </c>
      <c r="F17" s="8">
        <v>1790</v>
      </c>
      <c r="G17" s="1"/>
      <c r="H17" s="1"/>
      <c r="I17" s="1"/>
      <c r="J17" s="1"/>
      <c r="K17" s="1"/>
    </row>
    <row r="18" spans="1:11" x14ac:dyDescent="0.35">
      <c r="A18" s="1" t="s">
        <v>82</v>
      </c>
      <c r="B18" s="8"/>
      <c r="C18" s="8"/>
      <c r="D18" s="8"/>
      <c r="E18" s="8">
        <v>434</v>
      </c>
      <c r="F18" s="8">
        <v>439</v>
      </c>
      <c r="G18" s="1"/>
      <c r="H18" s="1"/>
      <c r="I18" s="1"/>
      <c r="J18" s="1"/>
      <c r="K18" s="1"/>
    </row>
    <row r="19" spans="1:11" x14ac:dyDescent="0.35">
      <c r="A19" s="1" t="s">
        <v>83</v>
      </c>
      <c r="B19" s="8"/>
      <c r="C19" s="8"/>
      <c r="D19" s="8"/>
      <c r="E19" s="8"/>
      <c r="F19" s="8">
        <v>464</v>
      </c>
      <c r="G19" s="1"/>
      <c r="H19" s="1"/>
      <c r="I19" s="1"/>
      <c r="J19" s="1"/>
      <c r="K19" s="1"/>
    </row>
    <row r="20" spans="1:11" x14ac:dyDescent="0.35">
      <c r="A20" s="1" t="s">
        <v>84</v>
      </c>
      <c r="B20" s="9"/>
      <c r="C20" s="9"/>
      <c r="D20" s="9"/>
      <c r="E20" s="9"/>
      <c r="F20" s="9">
        <v>0.02</v>
      </c>
      <c r="G20" s="1"/>
      <c r="H20" s="1"/>
      <c r="I20" s="1"/>
      <c r="J20" s="1"/>
      <c r="K20" s="1"/>
    </row>
    <row r="21" spans="1:11" x14ac:dyDescent="0.35">
      <c r="A21" s="1" t="s">
        <v>85</v>
      </c>
      <c r="B21" s="9"/>
      <c r="C21" s="9"/>
      <c r="D21" s="9"/>
      <c r="E21" s="9"/>
      <c r="F21" s="9">
        <v>0.14000000000000001</v>
      </c>
      <c r="G21" s="1"/>
      <c r="H21" s="1"/>
      <c r="I21" s="1"/>
      <c r="J21" s="1"/>
      <c r="K21" s="1"/>
    </row>
    <row r="22" spans="1:11" x14ac:dyDescent="0.3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</row>
    <row r="23" spans="1:11" x14ac:dyDescent="0.3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</row>
    <row r="24" spans="1:11" x14ac:dyDescent="0.3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</row>
    <row r="25" spans="1:11" x14ac:dyDescent="0.3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</row>
    <row r="26" spans="1:11" x14ac:dyDescent="0.3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</row>
    <row r="27" spans="1:11" x14ac:dyDescent="0.3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</row>
    <row r="28" spans="1:11" x14ac:dyDescent="0.3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</row>
    <row r="29" spans="1:11" x14ac:dyDescent="0.3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</row>
    <row r="30" spans="1:11" x14ac:dyDescent="0.3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</row>
    <row r="31" spans="1:11" x14ac:dyDescent="0.3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</row>
    <row r="32" spans="1:11" x14ac:dyDescent="0.3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</row>
    <row r="33" spans="1:11" x14ac:dyDescent="0.3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</row>
    <row r="34" spans="1:11" x14ac:dyDescent="0.3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</row>
    <row r="35" spans="1:11" x14ac:dyDescent="0.3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</row>
    <row r="36" spans="1:11" x14ac:dyDescent="0.3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</row>
    <row r="37" spans="1:11" x14ac:dyDescent="0.3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</row>
    <row r="38" spans="1:11" x14ac:dyDescent="0.3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</row>
    <row r="39" spans="1:11" x14ac:dyDescent="0.3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</row>
    <row r="40" spans="1:11" x14ac:dyDescent="0.3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</row>
    <row r="41" spans="1:11" x14ac:dyDescent="0.3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</row>
    <row r="42" spans="1:11" x14ac:dyDescent="0.3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</row>
    <row r="43" spans="1:11" x14ac:dyDescent="0.3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</row>
    <row r="44" spans="1:11" x14ac:dyDescent="0.3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</row>
    <row r="45" spans="1:11" x14ac:dyDescent="0.3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</row>
    <row r="46" spans="1:11" x14ac:dyDescent="0.3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</row>
    <row r="47" spans="1:11" x14ac:dyDescent="0.3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</row>
    <row r="48" spans="1:11" x14ac:dyDescent="0.3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</row>
    <row r="49" spans="1:11" x14ac:dyDescent="0.3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</row>
    <row r="50" spans="1:11" x14ac:dyDescent="0.3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</row>
    <row r="51" spans="1:11" x14ac:dyDescent="0.3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</row>
    <row r="52" spans="1:11" x14ac:dyDescent="0.3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</row>
    <row r="53" spans="1:11" x14ac:dyDescent="0.3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</row>
    <row r="54" spans="1:11" x14ac:dyDescent="0.3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</row>
    <row r="55" spans="1:11" x14ac:dyDescent="0.3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</row>
    <row r="56" spans="1:11" x14ac:dyDescent="0.3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</row>
    <row r="57" spans="1:11" x14ac:dyDescent="0.3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</row>
    <row r="58" spans="1:11" x14ac:dyDescent="0.3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</row>
    <row r="59" spans="1:11" x14ac:dyDescent="0.3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</row>
    <row r="60" spans="1:11" x14ac:dyDescent="0.3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</row>
    <row r="61" spans="1:11" x14ac:dyDescent="0.3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</row>
    <row r="62" spans="1:11" x14ac:dyDescent="0.3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</row>
    <row r="63" spans="1:11" x14ac:dyDescent="0.3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</row>
    <row r="64" spans="1:11" x14ac:dyDescent="0.3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</row>
    <row r="65" spans="1:11" x14ac:dyDescent="0.3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</row>
    <row r="66" spans="1:11" x14ac:dyDescent="0.3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</row>
    <row r="67" spans="1:11" x14ac:dyDescent="0.3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</row>
    <row r="68" spans="1:11" x14ac:dyDescent="0.3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</row>
    <row r="69" spans="1:11" x14ac:dyDescent="0.3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</row>
    <row r="70" spans="1:11" x14ac:dyDescent="0.3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</row>
    <row r="71" spans="1:11" x14ac:dyDescent="0.3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</row>
    <row r="72" spans="1:11" x14ac:dyDescent="0.3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</row>
    <row r="73" spans="1:11" x14ac:dyDescent="0.3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</row>
    <row r="74" spans="1:11" x14ac:dyDescent="0.3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</row>
    <row r="75" spans="1:11" x14ac:dyDescent="0.3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</row>
    <row r="76" spans="1:11" x14ac:dyDescent="0.3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</row>
    <row r="77" spans="1:11" x14ac:dyDescent="0.3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</row>
    <row r="78" spans="1:11" x14ac:dyDescent="0.3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</row>
    <row r="79" spans="1:11" x14ac:dyDescent="0.3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</row>
    <row r="80" spans="1:11" x14ac:dyDescent="0.3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80"/>
  <sheetViews>
    <sheetView workbookViewId="0"/>
  </sheetViews>
  <sheetFormatPr defaultRowHeight="14.5" x14ac:dyDescent="0.35"/>
  <cols>
    <col min="1" max="1" width="33.1796875" bestFit="1" customWidth="1"/>
    <col min="2" max="9" width="18" customWidth="1"/>
  </cols>
  <sheetData>
    <row r="1" spans="1:11" ht="16" customHeight="1" x14ac:dyDescent="0.4">
      <c r="A1" s="4" t="s">
        <v>86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 x14ac:dyDescent="0.35">
      <c r="A2" s="1"/>
      <c r="B2" s="1"/>
      <c r="C2" s="1"/>
      <c r="D2" s="1"/>
      <c r="E2" s="1"/>
      <c r="F2" s="1"/>
      <c r="G2" s="1"/>
      <c r="H2" s="1"/>
      <c r="I2" s="1"/>
      <c r="J2" s="1"/>
      <c r="K2" s="1"/>
    </row>
    <row r="3" spans="1:11" x14ac:dyDescent="0.35">
      <c r="A3" s="5" t="s">
        <v>66</v>
      </c>
      <c r="B3" s="5" t="s">
        <v>71</v>
      </c>
      <c r="C3" s="5" t="s">
        <v>53</v>
      </c>
      <c r="D3" s="5" t="s">
        <v>54</v>
      </c>
      <c r="E3" s="5" t="s">
        <v>55</v>
      </c>
      <c r="F3" s="5" t="s">
        <v>56</v>
      </c>
      <c r="G3" s="5" t="s">
        <v>57</v>
      </c>
      <c r="H3" s="1"/>
      <c r="I3" s="1"/>
      <c r="J3" s="1"/>
      <c r="K3" s="1"/>
    </row>
    <row r="4" spans="1:11" x14ac:dyDescent="0.35">
      <c r="A4" s="1" t="s">
        <v>72</v>
      </c>
      <c r="B4" s="8">
        <v>33172</v>
      </c>
      <c r="C4" s="8">
        <f>B4*(1+'1 Inputs'!B23)</f>
        <v>34830.6</v>
      </c>
      <c r="D4" s="8">
        <f>C4*(1+'1 Inputs'!C23)</f>
        <v>36746.282999999996</v>
      </c>
      <c r="E4" s="8">
        <f>D4*(1+'1 Inputs'!D23)</f>
        <v>38951.059979999998</v>
      </c>
      <c r="F4" s="8">
        <f>E4*(1+'1 Inputs'!E23)</f>
        <v>41093.368278899994</v>
      </c>
      <c r="G4" s="8">
        <f>F4*(1+'1 Inputs'!F23)</f>
        <v>43148.036692844995</v>
      </c>
      <c r="H4" s="1"/>
      <c r="I4" s="1"/>
      <c r="J4" s="1"/>
      <c r="K4" s="1"/>
    </row>
    <row r="5" spans="1:11" x14ac:dyDescent="0.35">
      <c r="A5" s="1" t="s">
        <v>58</v>
      </c>
      <c r="B5" s="9">
        <v>4.2999999999999997E-2</v>
      </c>
      <c r="C5" s="9">
        <f>C4/B4-1</f>
        <v>5.0000000000000044E-2</v>
      </c>
      <c r="D5" s="9">
        <f>D4/C4-1</f>
        <v>5.4999999999999938E-2</v>
      </c>
      <c r="E5" s="9">
        <f>E4/D4-1</f>
        <v>6.0000000000000053E-2</v>
      </c>
      <c r="F5" s="9">
        <f>F4/E4-1</f>
        <v>5.4999999999999938E-2</v>
      </c>
      <c r="G5" s="9">
        <f>G4/F4-1</f>
        <v>5.0000000000000044E-2</v>
      </c>
      <c r="H5" s="1"/>
      <c r="I5" s="1"/>
      <c r="J5" s="1"/>
      <c r="K5" s="1"/>
    </row>
    <row r="6" spans="1:11" x14ac:dyDescent="0.35">
      <c r="A6" s="1" t="s">
        <v>73</v>
      </c>
      <c r="B6" s="8">
        <v>6065</v>
      </c>
      <c r="C6" s="8">
        <f>C4*'1 Inputs'!B24</f>
        <v>6339.1691999999994</v>
      </c>
      <c r="D6" s="8">
        <f>D4*'1 Inputs'!C24</f>
        <v>6798.0623549999991</v>
      </c>
      <c r="E6" s="8">
        <f>E4*'1 Inputs'!D24</f>
        <v>7400.7013962000001</v>
      </c>
      <c r="F6" s="8">
        <f>F4*'1 Inputs'!E24</f>
        <v>8013.2068143854995</v>
      </c>
      <c r="G6" s="8">
        <f>G4*'1 Inputs'!F24</f>
        <v>8629.6073385689997</v>
      </c>
      <c r="H6" s="1"/>
      <c r="I6" s="1"/>
      <c r="J6" s="1"/>
      <c r="K6" s="1"/>
    </row>
    <row r="7" spans="1:11" x14ac:dyDescent="0.35">
      <c r="A7" s="1" t="s">
        <v>59</v>
      </c>
      <c r="B7" s="9">
        <v>0.183</v>
      </c>
      <c r="C7" s="9">
        <f>C6/C4</f>
        <v>0.182</v>
      </c>
      <c r="D7" s="9">
        <f>D6/D4</f>
        <v>0.185</v>
      </c>
      <c r="E7" s="9">
        <f>E6/E4</f>
        <v>0.19</v>
      </c>
      <c r="F7" s="9">
        <f>F6/F4</f>
        <v>0.19500000000000001</v>
      </c>
      <c r="G7" s="9">
        <f>G6/G4</f>
        <v>0.2</v>
      </c>
      <c r="H7" s="1"/>
      <c r="I7" s="1"/>
      <c r="J7" s="1"/>
      <c r="K7" s="1"/>
    </row>
    <row r="8" spans="1:11" x14ac:dyDescent="0.35">
      <c r="A8" s="1" t="s">
        <v>87</v>
      </c>
      <c r="B8" s="8">
        <v>0</v>
      </c>
      <c r="C8" s="8">
        <f>-C28*'1 Inputs'!$B$11</f>
        <v>-1063.44</v>
      </c>
      <c r="D8" s="8">
        <f>-D28*'1 Inputs'!$B$11</f>
        <v>-1063.44</v>
      </c>
      <c r="E8" s="8">
        <f>-E28*'1 Inputs'!$B$11</f>
        <v>-1063.44</v>
      </c>
      <c r="F8" s="8">
        <f>-F28*'1 Inputs'!$B$11</f>
        <v>-1063.44</v>
      </c>
      <c r="G8" s="8">
        <f>-G28*'1 Inputs'!$B$11</f>
        <v>-1063.44</v>
      </c>
      <c r="H8" s="1"/>
      <c r="I8" s="1"/>
      <c r="J8" s="1"/>
      <c r="K8" s="1"/>
    </row>
    <row r="9" spans="1:11" x14ac:dyDescent="0.35">
      <c r="A9" s="1" t="s">
        <v>88</v>
      </c>
      <c r="B9" s="8">
        <v>6292</v>
      </c>
      <c r="C9" s="8">
        <f>C6+C8</f>
        <v>5275.7291999999998</v>
      </c>
      <c r="D9" s="8">
        <f>D6+D8</f>
        <v>5734.6223549999995</v>
      </c>
      <c r="E9" s="8">
        <f>E6+E8</f>
        <v>6337.2613961999996</v>
      </c>
      <c r="F9" s="8">
        <f>F6+F8</f>
        <v>6949.7668143854989</v>
      </c>
      <c r="G9" s="8">
        <f>G6+G8</f>
        <v>7566.1673385689992</v>
      </c>
      <c r="H9" s="1"/>
      <c r="I9" s="1"/>
      <c r="J9" s="1"/>
      <c r="K9" s="1"/>
    </row>
    <row r="10" spans="1:11" x14ac:dyDescent="0.35">
      <c r="A10" s="1" t="s">
        <v>89</v>
      </c>
      <c r="B10" s="8">
        <v>-1059</v>
      </c>
      <c r="C10" s="8">
        <f>-C9*'1 Inputs'!$B$12</f>
        <v>-1081.5244859999998</v>
      </c>
      <c r="D10" s="8">
        <f>-D9*'1 Inputs'!$B$12</f>
        <v>-1175.5975827749999</v>
      </c>
      <c r="E10" s="8">
        <f>-E9*'1 Inputs'!$B$12</f>
        <v>-1299.1385862209997</v>
      </c>
      <c r="F10" s="8">
        <f>-F9*'1 Inputs'!$B$12</f>
        <v>-1424.7021969490272</v>
      </c>
      <c r="G10" s="8">
        <f>-G9*'1 Inputs'!$B$12</f>
        <v>-1551.0643044066449</v>
      </c>
      <c r="H10" s="1"/>
      <c r="I10" s="1"/>
      <c r="J10" s="1"/>
      <c r="K10" s="1"/>
    </row>
    <row r="11" spans="1:11" x14ac:dyDescent="0.35">
      <c r="A11" s="1" t="s">
        <v>74</v>
      </c>
      <c r="B11" s="8">
        <v>5233</v>
      </c>
      <c r="C11" s="8">
        <f>C9+C10</f>
        <v>4194.2047139999995</v>
      </c>
      <c r="D11" s="8">
        <f>D9+D10</f>
        <v>4559.0247722249997</v>
      </c>
      <c r="E11" s="8">
        <f>E9+E10</f>
        <v>5038.1228099789996</v>
      </c>
      <c r="F11" s="8">
        <f>F9+F10</f>
        <v>5525.064617436472</v>
      </c>
      <c r="G11" s="8">
        <f>G9+G10</f>
        <v>6015.1030341623546</v>
      </c>
      <c r="H11" s="1"/>
      <c r="I11" s="1"/>
      <c r="J11" s="1"/>
      <c r="K11" s="1"/>
    </row>
    <row r="12" spans="1:11" x14ac:dyDescent="0.35">
      <c r="A12" s="1" t="s">
        <v>23</v>
      </c>
      <c r="B12" s="8">
        <v>968</v>
      </c>
      <c r="C12" s="8">
        <f>MAX(0,B12-('1 Inputs'!B28/'1 Inputs'!$B$3))</f>
        <v>860.99090422685924</v>
      </c>
      <c r="D12" s="8">
        <f>MAX(0,C12-('1 Inputs'!C28/'1 Inputs'!$B$3))</f>
        <v>780.7340823970037</v>
      </c>
      <c r="E12" s="8">
        <f>MAX(0,D12-('1 Inputs'!D28/'1 Inputs'!$B$3))</f>
        <v>709.39468521490994</v>
      </c>
      <c r="F12" s="8">
        <f>MAX(0,E12-('1 Inputs'!E28/'1 Inputs'!$B$3))</f>
        <v>646.97271268057784</v>
      </c>
      <c r="G12" s="8">
        <f>MAX(0,F12-('1 Inputs'!F28/'1 Inputs'!$B$3))</f>
        <v>593.46816479400752</v>
      </c>
      <c r="H12" s="1"/>
      <c r="I12" s="1"/>
      <c r="J12" s="1"/>
      <c r="K12" s="1"/>
    </row>
    <row r="13" spans="1:11" x14ac:dyDescent="0.35">
      <c r="A13" s="1" t="s">
        <v>75</v>
      </c>
      <c r="B13" s="3">
        <v>5.41</v>
      </c>
      <c r="C13" s="3">
        <f>C11/C12</f>
        <v>4.8713693645419562</v>
      </c>
      <c r="D13" s="3">
        <f>D11/D12</f>
        <v>5.8394079047092671</v>
      </c>
      <c r="E13" s="3">
        <f>E11/E12</f>
        <v>7.1020024747615764</v>
      </c>
      <c r="F13" s="3">
        <f>F11/F12</f>
        <v>8.5398727166477837</v>
      </c>
      <c r="G13" s="3">
        <f>G11/G12</f>
        <v>10.13551086813594</v>
      </c>
      <c r="H13" s="1"/>
      <c r="I13" s="1"/>
      <c r="J13" s="1"/>
      <c r="K13" s="1"/>
    </row>
    <row r="14" spans="1:11" x14ac:dyDescent="0.35">
      <c r="A14" s="1"/>
      <c r="B14" s="8"/>
      <c r="C14" s="8"/>
      <c r="D14" s="8"/>
      <c r="E14" s="8"/>
      <c r="F14" s="8"/>
      <c r="G14" s="8"/>
      <c r="H14" s="1"/>
      <c r="I14" s="1"/>
      <c r="J14" s="1"/>
      <c r="K14" s="1"/>
    </row>
    <row r="15" spans="1:11" x14ac:dyDescent="0.35">
      <c r="A15" s="1"/>
      <c r="B15" s="8"/>
      <c r="C15" s="8"/>
      <c r="D15" s="8"/>
      <c r="E15" s="8"/>
      <c r="F15" s="8"/>
      <c r="G15" s="8"/>
      <c r="H15" s="1"/>
      <c r="I15" s="1"/>
      <c r="J15" s="1"/>
      <c r="K15" s="1"/>
    </row>
    <row r="16" spans="1:11" x14ac:dyDescent="0.35">
      <c r="A16" s="5" t="s">
        <v>90</v>
      </c>
      <c r="B16" s="10" t="s">
        <v>71</v>
      </c>
      <c r="C16" s="10" t="s">
        <v>53</v>
      </c>
      <c r="D16" s="10" t="s">
        <v>54</v>
      </c>
      <c r="E16" s="10" t="s">
        <v>55</v>
      </c>
      <c r="F16" s="10" t="s">
        <v>56</v>
      </c>
      <c r="G16" s="10" t="s">
        <v>57</v>
      </c>
      <c r="H16" s="1"/>
      <c r="I16" s="1"/>
      <c r="J16" s="1"/>
      <c r="K16" s="1"/>
    </row>
    <row r="17" spans="1:11" x14ac:dyDescent="0.35">
      <c r="A17" s="1" t="s">
        <v>74</v>
      </c>
      <c r="B17" s="8">
        <v>5233</v>
      </c>
      <c r="C17" s="8">
        <f>C11</f>
        <v>4194.2047139999995</v>
      </c>
      <c r="D17" s="8">
        <f>D11</f>
        <v>4559.0247722249997</v>
      </c>
      <c r="E17" s="8">
        <f>E11</f>
        <v>5038.1228099789996</v>
      </c>
      <c r="F17" s="8">
        <f>F11</f>
        <v>5525.064617436472</v>
      </c>
      <c r="G17" s="8">
        <f>G11</f>
        <v>6015.1030341623546</v>
      </c>
      <c r="H17" s="1"/>
      <c r="I17" s="1"/>
      <c r="J17" s="1"/>
      <c r="K17" s="1"/>
    </row>
    <row r="18" spans="1:11" x14ac:dyDescent="0.35">
      <c r="A18" s="1" t="s">
        <v>91</v>
      </c>
      <c r="B18" s="8">
        <v>963</v>
      </c>
      <c r="C18" s="8">
        <f>C4*'1 Inputs'!B25</f>
        <v>1010.0874</v>
      </c>
      <c r="D18" s="8">
        <f>D4*'1 Inputs'!C25</f>
        <v>1028.8959239999999</v>
      </c>
      <c r="E18" s="8">
        <f>E4*'1 Inputs'!D25</f>
        <v>1090.62967944</v>
      </c>
      <c r="F18" s="8">
        <f>F4*'1 Inputs'!E25</f>
        <v>1109.5209435302997</v>
      </c>
      <c r="G18" s="8">
        <f>G4*'1 Inputs'!F25</f>
        <v>1164.9969907068148</v>
      </c>
      <c r="H18" s="1"/>
      <c r="I18" s="1"/>
      <c r="J18" s="1"/>
      <c r="K18" s="1"/>
    </row>
    <row r="19" spans="1:11" x14ac:dyDescent="0.35">
      <c r="A19" s="1" t="s">
        <v>92</v>
      </c>
      <c r="B19" s="8">
        <v>-200</v>
      </c>
      <c r="C19" s="8">
        <f>-C4*'1 Inputs'!B27</f>
        <v>-174.15299999999999</v>
      </c>
      <c r="D19" s="8">
        <f>-D4*'1 Inputs'!C27</f>
        <v>-220.47769799999998</v>
      </c>
      <c r="E19" s="8">
        <f>-E4*'1 Inputs'!D27</f>
        <v>-233.70635988000001</v>
      </c>
      <c r="F19" s="8">
        <f>-F4*'1 Inputs'!E27</f>
        <v>-246.56020967339998</v>
      </c>
      <c r="G19" s="8">
        <f>-G4*'1 Inputs'!F27</f>
        <v>-258.88822015706995</v>
      </c>
      <c r="H19" s="1"/>
      <c r="I19" s="1"/>
      <c r="J19" s="1"/>
      <c r="K19" s="1"/>
    </row>
    <row r="20" spans="1:11" x14ac:dyDescent="0.35">
      <c r="A20" s="1" t="s">
        <v>79</v>
      </c>
      <c r="B20" s="8">
        <v>-852</v>
      </c>
      <c r="C20" s="8">
        <f>-C4*'1 Inputs'!B26</f>
        <v>-1044.9179999999999</v>
      </c>
      <c r="D20" s="8">
        <f>-D4*'1 Inputs'!C26</f>
        <v>-1102.3884899999998</v>
      </c>
      <c r="E20" s="8">
        <f>-E4*'1 Inputs'!D26</f>
        <v>-1168.5317994</v>
      </c>
      <c r="F20" s="8">
        <f>-F4*'1 Inputs'!E26</f>
        <v>-1232.8010483669998</v>
      </c>
      <c r="G20" s="8">
        <f>-G4*'1 Inputs'!F26</f>
        <v>-1294.4411007853498</v>
      </c>
      <c r="H20" s="1"/>
      <c r="I20" s="1"/>
      <c r="J20" s="1"/>
      <c r="K20" s="1"/>
    </row>
    <row r="21" spans="1:11" x14ac:dyDescent="0.35">
      <c r="A21" s="1" t="s">
        <v>80</v>
      </c>
      <c r="B21" s="8">
        <v>5564</v>
      </c>
      <c r="C21" s="8">
        <f>SUM(C17:C20)</f>
        <v>3985.2211139999999</v>
      </c>
      <c r="D21" s="8">
        <f>SUM(D17:D20)</f>
        <v>4265.0545082249992</v>
      </c>
      <c r="E21" s="8">
        <f>SUM(E17:E20)</f>
        <v>4726.5143301389999</v>
      </c>
      <c r="F21" s="8">
        <f>SUM(F17:F20)</f>
        <v>5155.2243029263718</v>
      </c>
      <c r="G21" s="8">
        <f>SUM(G17:G20)</f>
        <v>5626.7707039267498</v>
      </c>
      <c r="H21" s="1"/>
      <c r="I21" s="1"/>
      <c r="J21" s="1"/>
      <c r="K21" s="1"/>
    </row>
    <row r="22" spans="1:11" x14ac:dyDescent="0.35">
      <c r="A22" s="1" t="s">
        <v>63</v>
      </c>
      <c r="B22" s="8">
        <v>-6052</v>
      </c>
      <c r="C22" s="8">
        <f>-'1 Inputs'!B28</f>
        <v>-6000</v>
      </c>
      <c r="D22" s="8">
        <f>-'1 Inputs'!C28</f>
        <v>-4500</v>
      </c>
      <c r="E22" s="8">
        <f>-'1 Inputs'!D28</f>
        <v>-4000</v>
      </c>
      <c r="F22" s="8">
        <f>-'1 Inputs'!E28</f>
        <v>-3500</v>
      </c>
      <c r="G22" s="8">
        <f>-'1 Inputs'!F28</f>
        <v>-3000</v>
      </c>
      <c r="H22" s="1"/>
      <c r="I22" s="1"/>
      <c r="J22" s="1"/>
      <c r="K22" s="1"/>
    </row>
    <row r="23" spans="1:11" x14ac:dyDescent="0.35">
      <c r="A23" s="1" t="s">
        <v>93</v>
      </c>
      <c r="B23" s="8">
        <v>-130</v>
      </c>
      <c r="C23" s="8">
        <f>-B12*'1 Inputs'!B29</f>
        <v>-542.08000000000004</v>
      </c>
      <c r="D23" s="8">
        <f>-C12*'1 Inputs'!C29</f>
        <v>-499.37472445157834</v>
      </c>
      <c r="E23" s="8">
        <f>-D12*'1 Inputs'!D29</f>
        <v>-468.44044943820222</v>
      </c>
      <c r="F23" s="8">
        <f>-E12*'1 Inputs'!E29</f>
        <v>-446.91865168539329</v>
      </c>
      <c r="G23" s="8">
        <f>-F12*'1 Inputs'!F29</f>
        <v>-427.00199036918139</v>
      </c>
      <c r="H23" s="1"/>
      <c r="I23" s="1"/>
      <c r="J23" s="1"/>
      <c r="K23" s="1"/>
    </row>
    <row r="24" spans="1:11" x14ac:dyDescent="0.35">
      <c r="A24" s="1" t="s">
        <v>94</v>
      </c>
      <c r="B24" s="8">
        <v>12848</v>
      </c>
      <c r="C24" s="8">
        <f>MAX('1 Inputs'!$B$13,B24+C21+C22+C23)</f>
        <v>10291.141114</v>
      </c>
      <c r="D24" s="8">
        <f>MAX('1 Inputs'!$B$13,C24+D21+D22+D23)</f>
        <v>9556.8208977734212</v>
      </c>
      <c r="E24" s="8">
        <f>MAX('1 Inputs'!$B$13,D24+E21+E22+E23)</f>
        <v>9814.8947784742195</v>
      </c>
      <c r="F24" s="8">
        <f>MAX('1 Inputs'!$B$13,E24+F21+F22+F23)</f>
        <v>11023.200429715198</v>
      </c>
      <c r="G24" s="8">
        <f>MAX('1 Inputs'!$B$13,F24+G21+G22+G23)</f>
        <v>13222.969143272769</v>
      </c>
      <c r="H24" s="1"/>
      <c r="I24" s="1"/>
      <c r="J24" s="1"/>
      <c r="K24" s="1"/>
    </row>
    <row r="25" spans="1:11" x14ac:dyDescent="0.35">
      <c r="A25" s="1" t="s">
        <v>95</v>
      </c>
      <c r="B25" s="8">
        <v>2310</v>
      </c>
      <c r="C25" s="8">
        <f>B25-(C20)-C18</f>
        <v>2344.8305999999998</v>
      </c>
      <c r="D25" s="8">
        <f>C25-(D20)-D18</f>
        <v>2418.3231659999997</v>
      </c>
      <c r="E25" s="8">
        <f>D25-(E20)-E18</f>
        <v>2496.2252859599998</v>
      </c>
      <c r="F25" s="8">
        <f>E25-(F20)-F18</f>
        <v>2619.5053907967003</v>
      </c>
      <c r="G25" s="8">
        <f>F25-(G20)-G18</f>
        <v>2748.9495008752351</v>
      </c>
      <c r="H25" s="1"/>
      <c r="I25" s="1"/>
      <c r="J25" s="1"/>
      <c r="K25" s="1"/>
    </row>
    <row r="26" spans="1:11" x14ac:dyDescent="0.35">
      <c r="A26" s="1" t="s">
        <v>96</v>
      </c>
      <c r="B26" s="8">
        <v>80173</v>
      </c>
      <c r="C26" s="8">
        <f>B26+(C24-B24)+(C25-B25)</f>
        <v>77650.971713999999</v>
      </c>
      <c r="D26" s="8">
        <f>C26+(D24-C24)+(D25-C25)</f>
        <v>76990.144063773419</v>
      </c>
      <c r="E26" s="8">
        <f>D26+(E24-D24)+(E25-D25)</f>
        <v>77326.120064434217</v>
      </c>
      <c r="F26" s="8">
        <f>E26+(F24-E24)+(F25-E25)</f>
        <v>78657.705820511896</v>
      </c>
      <c r="G26" s="8">
        <f>F26+(G24-F24)+(G25-F25)</f>
        <v>80986.918644147998</v>
      </c>
      <c r="H26" s="1"/>
      <c r="I26" s="1"/>
      <c r="J26" s="1"/>
      <c r="K26" s="1"/>
    </row>
    <row r="27" spans="1:11" x14ac:dyDescent="0.35">
      <c r="A27" s="1" t="s">
        <v>30</v>
      </c>
      <c r="B27" s="8">
        <v>9987</v>
      </c>
      <c r="C27" s="8">
        <f>B27+C11+C22+C23</f>
        <v>7639.1247139999996</v>
      </c>
      <c r="D27" s="8">
        <f>C27+D11+D22+D23</f>
        <v>7198.7747617734221</v>
      </c>
      <c r="E27" s="8">
        <f>D27+E11+E22+E23</f>
        <v>7768.4571223142202</v>
      </c>
      <c r="F27" s="8">
        <f>E27+F11+F22+F23</f>
        <v>9346.6030880652997</v>
      </c>
      <c r="G27" s="8">
        <f>F27+G11+G22+G23</f>
        <v>11934.704131858472</v>
      </c>
      <c r="H27" s="1"/>
      <c r="I27" s="1"/>
      <c r="J27" s="1"/>
      <c r="K27" s="1"/>
    </row>
    <row r="28" spans="1:11" x14ac:dyDescent="0.35">
      <c r="A28" s="1" t="s">
        <v>97</v>
      </c>
      <c r="B28" s="8">
        <v>20256</v>
      </c>
      <c r="C28" s="8">
        <f>B28</f>
        <v>20256</v>
      </c>
      <c r="D28" s="8">
        <f>C28</f>
        <v>20256</v>
      </c>
      <c r="E28" s="8">
        <f>D28</f>
        <v>20256</v>
      </c>
      <c r="F28" s="8">
        <f>E28</f>
        <v>20256</v>
      </c>
      <c r="G28" s="8">
        <f>F28</f>
        <v>20256</v>
      </c>
      <c r="H28" s="1"/>
      <c r="I28" s="1"/>
      <c r="J28" s="1"/>
      <c r="K28" s="1"/>
    </row>
    <row r="29" spans="1:11" x14ac:dyDescent="0.35">
      <c r="A29" s="1" t="s">
        <v>98</v>
      </c>
      <c r="B29" s="11">
        <v>1.42</v>
      </c>
      <c r="C29" s="11">
        <f>C28/(C6+C18)</f>
        <v>2.7561971370002238</v>
      </c>
      <c r="D29" s="11">
        <f>D28/(D6+D18)</f>
        <v>2.587978532394577</v>
      </c>
      <c r="E29" s="11">
        <f>E28/(E6+E18)</f>
        <v>2.385491723212934</v>
      </c>
      <c r="F29" s="11">
        <f>F28/(F6+F18)</f>
        <v>2.2203885216703796</v>
      </c>
      <c r="G29" s="11">
        <f>G28/(G6+G18)</f>
        <v>2.0680774147716563</v>
      </c>
      <c r="H29" s="1"/>
      <c r="I29" s="1"/>
      <c r="J29" s="1"/>
      <c r="K29" s="1"/>
    </row>
    <row r="30" spans="1:11" x14ac:dyDescent="0.35">
      <c r="A30" s="1" t="s">
        <v>99</v>
      </c>
      <c r="B30" s="11">
        <v>0</v>
      </c>
      <c r="C30" s="11">
        <f>IFERROR(C6/ABS(C8),0)</f>
        <v>5.9610031595576611</v>
      </c>
      <c r="D30" s="11">
        <f>IFERROR(D6/ABS(D8),0)</f>
        <v>6.3925208333333323</v>
      </c>
      <c r="E30" s="11">
        <f>IFERROR(E6/ABS(E8),0)</f>
        <v>6.9592091666666667</v>
      </c>
      <c r="F30" s="11">
        <f>IFERROR(F6/ABS(F8),0)</f>
        <v>7.5351752937499992</v>
      </c>
      <c r="G30" s="11">
        <f>IFERROR(G6/ABS(G8),0)</f>
        <v>8.1148041624999987</v>
      </c>
      <c r="H30" s="1"/>
      <c r="I30" s="1"/>
      <c r="J30" s="1"/>
      <c r="K30" s="1"/>
    </row>
    <row r="31" spans="1:11" x14ac:dyDescent="0.35">
      <c r="A31" s="1" t="s">
        <v>100</v>
      </c>
      <c r="B31" s="11">
        <v>-0.41</v>
      </c>
      <c r="C31" s="11">
        <f>(C28-C24)/(C6+C18)</f>
        <v>1.3559002533671229</v>
      </c>
      <c r="D31" s="11">
        <f>(D28-D24)/(D6+D18)</f>
        <v>1.3669651377768102</v>
      </c>
      <c r="E31" s="11">
        <f>(E28-E24)/(E6+E18)</f>
        <v>1.2296193763401015</v>
      </c>
      <c r="F31" s="11">
        <f>(F28-F24)/(F6+F18)</f>
        <v>1.012065668875572</v>
      </c>
      <c r="G31" s="11">
        <f>(G28-G24)/(G6+G18)</f>
        <v>0.71805155372184737</v>
      </c>
      <c r="H31" s="1"/>
      <c r="I31" s="1"/>
      <c r="J31" s="1"/>
      <c r="K31" s="1"/>
    </row>
    <row r="32" spans="1:11" x14ac:dyDescent="0.35">
      <c r="A32" s="1" t="s">
        <v>101</v>
      </c>
      <c r="B32" s="11">
        <v>1.06</v>
      </c>
      <c r="C32" s="11">
        <f>C21/C11</f>
        <v>0.95017324755217003</v>
      </c>
      <c r="D32" s="11">
        <f>D21/D11</f>
        <v>0.93551904657527662</v>
      </c>
      <c r="E32" s="11">
        <f>E21/E11</f>
        <v>0.93814988407531519</v>
      </c>
      <c r="F32" s="11">
        <f>F21/F11</f>
        <v>0.93306135943769297</v>
      </c>
      <c r="G32" s="11">
        <f>G21/G11</f>
        <v>0.93544045246937602</v>
      </c>
      <c r="H32" s="1"/>
      <c r="I32" s="1"/>
      <c r="J32" s="1"/>
      <c r="K32" s="1"/>
    </row>
    <row r="33" spans="1:11" x14ac:dyDescent="0.3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</row>
    <row r="34" spans="1:11" x14ac:dyDescent="0.3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</row>
    <row r="35" spans="1:11" x14ac:dyDescent="0.3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</row>
    <row r="36" spans="1:11" x14ac:dyDescent="0.3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</row>
    <row r="37" spans="1:11" x14ac:dyDescent="0.3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</row>
    <row r="38" spans="1:11" x14ac:dyDescent="0.3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</row>
    <row r="39" spans="1:11" x14ac:dyDescent="0.3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</row>
    <row r="40" spans="1:11" x14ac:dyDescent="0.3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</row>
    <row r="41" spans="1:11" x14ac:dyDescent="0.3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</row>
    <row r="42" spans="1:11" x14ac:dyDescent="0.3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</row>
    <row r="43" spans="1:11" x14ac:dyDescent="0.3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</row>
    <row r="44" spans="1:11" x14ac:dyDescent="0.3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</row>
    <row r="45" spans="1:11" x14ac:dyDescent="0.3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</row>
    <row r="46" spans="1:11" x14ac:dyDescent="0.3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</row>
    <row r="47" spans="1:11" x14ac:dyDescent="0.3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</row>
    <row r="48" spans="1:11" x14ac:dyDescent="0.3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</row>
    <row r="49" spans="1:11" x14ac:dyDescent="0.3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</row>
    <row r="50" spans="1:11" x14ac:dyDescent="0.3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</row>
    <row r="51" spans="1:11" x14ac:dyDescent="0.3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</row>
    <row r="52" spans="1:11" x14ac:dyDescent="0.3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</row>
    <row r="53" spans="1:11" x14ac:dyDescent="0.3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</row>
    <row r="54" spans="1:11" x14ac:dyDescent="0.3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</row>
    <row r="55" spans="1:11" x14ac:dyDescent="0.3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</row>
    <row r="56" spans="1:11" x14ac:dyDescent="0.3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</row>
    <row r="57" spans="1:11" x14ac:dyDescent="0.3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</row>
    <row r="58" spans="1:11" x14ac:dyDescent="0.3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</row>
    <row r="59" spans="1:11" x14ac:dyDescent="0.3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</row>
    <row r="60" spans="1:11" x14ac:dyDescent="0.3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</row>
    <row r="61" spans="1:11" x14ac:dyDescent="0.3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</row>
    <row r="62" spans="1:11" x14ac:dyDescent="0.3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</row>
    <row r="63" spans="1:11" x14ac:dyDescent="0.3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</row>
    <row r="64" spans="1:11" x14ac:dyDescent="0.3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</row>
    <row r="65" spans="1:11" x14ac:dyDescent="0.3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</row>
    <row r="66" spans="1:11" x14ac:dyDescent="0.3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</row>
    <row r="67" spans="1:11" x14ac:dyDescent="0.3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</row>
    <row r="68" spans="1:11" x14ac:dyDescent="0.3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</row>
    <row r="69" spans="1:11" x14ac:dyDescent="0.3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</row>
    <row r="70" spans="1:11" x14ac:dyDescent="0.3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</row>
    <row r="71" spans="1:11" x14ac:dyDescent="0.3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</row>
    <row r="72" spans="1:11" x14ac:dyDescent="0.3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</row>
    <row r="73" spans="1:11" x14ac:dyDescent="0.3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</row>
    <row r="74" spans="1:11" x14ac:dyDescent="0.3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</row>
    <row r="75" spans="1:11" x14ac:dyDescent="0.3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</row>
    <row r="76" spans="1:11" x14ac:dyDescent="0.3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</row>
    <row r="77" spans="1:11" x14ac:dyDescent="0.3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</row>
    <row r="78" spans="1:11" x14ac:dyDescent="0.3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</row>
    <row r="79" spans="1:11" x14ac:dyDescent="0.3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</row>
    <row r="80" spans="1:11" x14ac:dyDescent="0.3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K80"/>
  <sheetViews>
    <sheetView workbookViewId="0">
      <selection activeCell="C26" sqref="C26"/>
    </sheetView>
  </sheetViews>
  <sheetFormatPr defaultRowHeight="14.5" x14ac:dyDescent="0.35"/>
  <cols>
    <col min="1" max="1" width="28" customWidth="1"/>
    <col min="2" max="9" width="18" customWidth="1"/>
  </cols>
  <sheetData>
    <row r="1" spans="1:11" ht="16" customHeight="1" x14ac:dyDescent="0.4">
      <c r="A1" s="4" t="s">
        <v>102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 x14ac:dyDescent="0.35">
      <c r="A2" s="1"/>
      <c r="B2" s="1"/>
      <c r="C2" s="1"/>
      <c r="D2" s="1"/>
      <c r="E2" s="1"/>
      <c r="F2" s="1"/>
      <c r="G2" s="1"/>
      <c r="H2" s="1"/>
      <c r="I2" s="1"/>
      <c r="J2" s="1"/>
      <c r="K2" s="1"/>
    </row>
    <row r="3" spans="1:11" x14ac:dyDescent="0.35">
      <c r="A3" s="5" t="s">
        <v>103</v>
      </c>
      <c r="B3" s="5" t="s">
        <v>53</v>
      </c>
      <c r="C3" s="5" t="s">
        <v>54</v>
      </c>
      <c r="D3" s="5" t="s">
        <v>55</v>
      </c>
      <c r="E3" s="5" t="s">
        <v>56</v>
      </c>
      <c r="F3" s="5" t="s">
        <v>57</v>
      </c>
      <c r="G3" s="1"/>
      <c r="H3" s="1"/>
      <c r="I3" s="1"/>
      <c r="J3" s="1"/>
      <c r="K3" s="1"/>
    </row>
    <row r="4" spans="1:11" x14ac:dyDescent="0.35">
      <c r="A4" s="1" t="s">
        <v>104</v>
      </c>
      <c r="B4" s="3">
        <f>'3 Forecast'!C6</f>
        <v>6339.1691999999994</v>
      </c>
      <c r="C4" s="3">
        <f>'3 Forecast'!D6</f>
        <v>6798.0623549999991</v>
      </c>
      <c r="D4" s="3">
        <f>'3 Forecast'!E6</f>
        <v>7400.7013962000001</v>
      </c>
      <c r="E4" s="3">
        <f>'3 Forecast'!F6</f>
        <v>8013.2068143854995</v>
      </c>
      <c r="F4" s="3">
        <f>'3 Forecast'!G6</f>
        <v>8629.6073385689997</v>
      </c>
      <c r="G4" s="1"/>
      <c r="H4" s="1"/>
      <c r="I4" s="1"/>
      <c r="J4" s="1"/>
      <c r="K4" s="1"/>
    </row>
    <row r="5" spans="1:11" x14ac:dyDescent="0.35">
      <c r="A5" s="1" t="s">
        <v>105</v>
      </c>
      <c r="B5" s="3">
        <f>-B4*'1 Inputs'!$B$12</f>
        <v>-1299.5296859999999</v>
      </c>
      <c r="C5" s="3">
        <f>-C4*'1 Inputs'!$B$12</f>
        <v>-1393.6027827749997</v>
      </c>
      <c r="D5" s="3">
        <f>-D4*'1 Inputs'!$B$12</f>
        <v>-1517.143786221</v>
      </c>
      <c r="E5" s="3">
        <f>-E4*'1 Inputs'!$B$12</f>
        <v>-1642.7073969490273</v>
      </c>
      <c r="F5" s="3">
        <f>-F4*'1 Inputs'!$B$12</f>
        <v>-1769.0695044066449</v>
      </c>
      <c r="G5" s="1"/>
      <c r="H5" s="1"/>
      <c r="I5" s="1"/>
      <c r="J5" s="1"/>
      <c r="K5" s="1"/>
    </row>
    <row r="6" spans="1:11" x14ac:dyDescent="0.35">
      <c r="A6" s="1" t="s">
        <v>106</v>
      </c>
      <c r="B6" s="3">
        <f>B4+B5</f>
        <v>5039.6395139999995</v>
      </c>
      <c r="C6" s="3">
        <f>C4+C5</f>
        <v>5404.4595722249996</v>
      </c>
      <c r="D6" s="3">
        <f>D4+D5</f>
        <v>5883.5576099789996</v>
      </c>
      <c r="E6" s="3">
        <f>E4+E5</f>
        <v>6370.499417436472</v>
      </c>
      <c r="F6" s="3">
        <f>F4+F5</f>
        <v>6860.5378341623546</v>
      </c>
      <c r="G6" s="1"/>
      <c r="H6" s="1"/>
      <c r="I6" s="1"/>
      <c r="J6" s="1"/>
      <c r="K6" s="1"/>
    </row>
    <row r="7" spans="1:11" x14ac:dyDescent="0.35">
      <c r="A7" s="1" t="s">
        <v>91</v>
      </c>
      <c r="B7" s="3">
        <f>'3 Forecast'!C18</f>
        <v>1010.0874</v>
      </c>
      <c r="C7" s="3">
        <f>'3 Forecast'!D18</f>
        <v>1028.8959239999999</v>
      </c>
      <c r="D7" s="3">
        <f>'3 Forecast'!E18</f>
        <v>1090.62967944</v>
      </c>
      <c r="E7" s="3">
        <f>'3 Forecast'!F18</f>
        <v>1109.5209435302997</v>
      </c>
      <c r="F7" s="3">
        <f>'3 Forecast'!G18</f>
        <v>1164.9969907068148</v>
      </c>
      <c r="G7" s="1"/>
      <c r="H7" s="1"/>
      <c r="I7" s="1"/>
      <c r="J7" s="1"/>
      <c r="K7" s="1"/>
    </row>
    <row r="8" spans="1:11" x14ac:dyDescent="0.35">
      <c r="A8" s="1" t="s">
        <v>92</v>
      </c>
      <c r="B8" s="3">
        <f>'3 Forecast'!C19</f>
        <v>-174.15299999999999</v>
      </c>
      <c r="C8" s="3">
        <f>'3 Forecast'!D19</f>
        <v>-220.47769799999998</v>
      </c>
      <c r="D8" s="3">
        <f>'3 Forecast'!E19</f>
        <v>-233.70635988000001</v>
      </c>
      <c r="E8" s="3">
        <f>'3 Forecast'!F19</f>
        <v>-246.56020967339998</v>
      </c>
      <c r="F8" s="3">
        <f>'3 Forecast'!G19</f>
        <v>-258.88822015706995</v>
      </c>
      <c r="G8" s="1"/>
      <c r="H8" s="1"/>
      <c r="I8" s="1"/>
      <c r="J8" s="1"/>
      <c r="K8" s="1"/>
    </row>
    <row r="9" spans="1:11" x14ac:dyDescent="0.35">
      <c r="A9" s="1" t="s">
        <v>79</v>
      </c>
      <c r="B9" s="3">
        <f>'3 Forecast'!C20</f>
        <v>-1044.9179999999999</v>
      </c>
      <c r="C9" s="3">
        <f>'3 Forecast'!D20</f>
        <v>-1102.3884899999998</v>
      </c>
      <c r="D9" s="3">
        <f>'3 Forecast'!E20</f>
        <v>-1168.5317994</v>
      </c>
      <c r="E9" s="3">
        <f>'3 Forecast'!F20</f>
        <v>-1232.8010483669998</v>
      </c>
      <c r="F9" s="3">
        <f>'3 Forecast'!G20</f>
        <v>-1294.4411007853498</v>
      </c>
      <c r="G9" s="1"/>
      <c r="H9" s="1"/>
      <c r="I9" s="1"/>
      <c r="J9" s="1"/>
      <c r="K9" s="1"/>
    </row>
    <row r="10" spans="1:11" x14ac:dyDescent="0.35">
      <c r="A10" s="1" t="s">
        <v>107</v>
      </c>
      <c r="B10" s="3">
        <f>SUM(B6:B9)</f>
        <v>4830.6559139999999</v>
      </c>
      <c r="C10" s="3">
        <f>SUM(C6:C9)</f>
        <v>5110.4893082250001</v>
      </c>
      <c r="D10" s="3">
        <f>SUM(D6:D9)</f>
        <v>5571.9491301390008</v>
      </c>
      <c r="E10" s="3">
        <f>SUM(E6:E9)</f>
        <v>6000.6591029263718</v>
      </c>
      <c r="F10" s="3">
        <f>SUM(F6:F9)</f>
        <v>6472.2055039267507</v>
      </c>
      <c r="G10" s="1"/>
      <c r="H10" s="1"/>
      <c r="I10" s="1"/>
      <c r="J10" s="1"/>
      <c r="K10" s="1"/>
    </row>
    <row r="11" spans="1:11" x14ac:dyDescent="0.35">
      <c r="A11" s="1" t="s">
        <v>108</v>
      </c>
      <c r="B11" s="3">
        <f>1/(1+'1 Inputs'!$B$9)^1</f>
        <v>0.91533180778032031</v>
      </c>
      <c r="C11" s="3">
        <f>1/(1+'1 Inputs'!$B$9)^2</f>
        <v>0.83783231833438931</v>
      </c>
      <c r="D11" s="3">
        <f>1/(1+'1 Inputs'!$B$9)^3</f>
        <v>0.76689457055779331</v>
      </c>
      <c r="E11" s="3">
        <f>1/(1+'1 Inputs'!$B$9)^4</f>
        <v>0.70196299364557746</v>
      </c>
      <c r="F11" s="3">
        <f>1/(1+'1 Inputs'!$B$9)^5</f>
        <v>0.64252905596849197</v>
      </c>
      <c r="G11" s="1"/>
      <c r="H11" s="1"/>
      <c r="I11" s="1"/>
      <c r="J11" s="1"/>
      <c r="K11" s="1"/>
    </row>
    <row r="12" spans="1:11" x14ac:dyDescent="0.35">
      <c r="A12" s="1" t="s">
        <v>109</v>
      </c>
      <c r="B12" s="3">
        <f>B10*B11</f>
        <v>4421.6530105263155</v>
      </c>
      <c r="C12" s="3">
        <f>C10*C11</f>
        <v>4281.7331049332615</v>
      </c>
      <c r="D12" s="3">
        <f>D10*D11</f>
        <v>4273.0975353278191</v>
      </c>
      <c r="E12" s="3">
        <f>E10*E11</f>
        <v>4212.2406277367809</v>
      </c>
      <c r="F12" s="3">
        <f>F10*F11</f>
        <v>4158.5800924721334</v>
      </c>
      <c r="G12" s="1"/>
      <c r="H12" s="1"/>
      <c r="I12" s="1"/>
      <c r="J12" s="1"/>
      <c r="K12" s="1"/>
    </row>
    <row r="13" spans="1:11" x14ac:dyDescent="0.35">
      <c r="A13" s="1"/>
      <c r="B13" s="3"/>
      <c r="C13" s="3"/>
      <c r="D13" s="3"/>
      <c r="E13" s="3"/>
      <c r="F13" s="3"/>
      <c r="G13" s="1"/>
      <c r="H13" s="1"/>
      <c r="I13" s="1"/>
      <c r="J13" s="1"/>
      <c r="K13" s="1"/>
    </row>
    <row r="14" spans="1:11" x14ac:dyDescent="0.35">
      <c r="A14" s="5" t="s">
        <v>110</v>
      </c>
      <c r="B14" s="12" t="s">
        <v>18</v>
      </c>
      <c r="C14" s="3"/>
      <c r="D14" s="3"/>
      <c r="E14" s="3"/>
      <c r="F14" s="3"/>
      <c r="G14" s="1"/>
      <c r="H14" s="1"/>
      <c r="I14" s="1"/>
      <c r="J14" s="1"/>
      <c r="K14" s="1"/>
    </row>
    <row r="15" spans="1:11" x14ac:dyDescent="0.35">
      <c r="A15" s="1" t="s">
        <v>111</v>
      </c>
      <c r="B15" s="3">
        <f>SUM(B12:F12)</f>
        <v>21347.304370996309</v>
      </c>
      <c r="C15" s="3"/>
      <c r="D15" s="3"/>
      <c r="E15" s="3"/>
      <c r="F15" s="3"/>
      <c r="G15" s="1"/>
      <c r="H15" s="1"/>
      <c r="I15" s="1"/>
      <c r="J15" s="1"/>
      <c r="K15" s="1"/>
    </row>
    <row r="16" spans="1:11" x14ac:dyDescent="0.35">
      <c r="A16" s="1" t="s">
        <v>112</v>
      </c>
      <c r="B16" s="3">
        <f>F10*(1+'1 Inputs'!$B$10)/('1 Inputs'!$B$9-'1 Inputs'!$B$10)</f>
        <v>98281.639133702498</v>
      </c>
      <c r="C16" s="3"/>
      <c r="D16" s="3"/>
      <c r="E16" s="3"/>
      <c r="F16" s="3"/>
      <c r="G16" s="1"/>
      <c r="H16" s="1"/>
      <c r="I16" s="1"/>
      <c r="J16" s="1"/>
      <c r="K16" s="1"/>
    </row>
    <row r="17" spans="1:11" x14ac:dyDescent="0.35">
      <c r="A17" s="1" t="s">
        <v>113</v>
      </c>
      <c r="B17" s="3">
        <f>B16*F11</f>
        <v>63148.808811613861</v>
      </c>
      <c r="C17" s="3"/>
      <c r="D17" s="3"/>
      <c r="E17" s="3"/>
      <c r="F17" s="3"/>
      <c r="G17" s="1"/>
      <c r="H17" s="1"/>
      <c r="I17" s="1"/>
      <c r="J17" s="1"/>
      <c r="K17" s="1"/>
    </row>
    <row r="18" spans="1:11" x14ac:dyDescent="0.35">
      <c r="A18" s="1" t="s">
        <v>114</v>
      </c>
      <c r="B18" s="3">
        <f>B15+B17</f>
        <v>84496.113182610163</v>
      </c>
      <c r="C18" s="3"/>
      <c r="D18" s="3"/>
      <c r="E18" s="3"/>
      <c r="F18" s="3"/>
      <c r="G18" s="1"/>
      <c r="H18" s="1"/>
      <c r="I18" s="1"/>
      <c r="J18" s="1"/>
      <c r="K18" s="1"/>
    </row>
    <row r="19" spans="1:11" x14ac:dyDescent="0.35">
      <c r="A19" s="1" t="s">
        <v>31</v>
      </c>
      <c r="B19" s="3">
        <f>'1 Inputs'!B7-'1 Inputs'!B6</f>
        <v>-1900</v>
      </c>
      <c r="C19" s="3"/>
      <c r="D19" s="3"/>
      <c r="E19" s="3"/>
      <c r="F19" s="3"/>
      <c r="G19" s="1"/>
      <c r="H19" s="1"/>
      <c r="I19" s="1"/>
      <c r="J19" s="1"/>
      <c r="K19" s="1"/>
    </row>
    <row r="20" spans="1:11" x14ac:dyDescent="0.35">
      <c r="A20" s="1" t="s">
        <v>115</v>
      </c>
      <c r="B20" s="3">
        <f>B18-B19</f>
        <v>86396.113182610163</v>
      </c>
      <c r="C20" s="3"/>
      <c r="D20" s="3"/>
      <c r="E20" s="3"/>
      <c r="F20" s="3"/>
      <c r="G20" s="1"/>
      <c r="H20" s="1"/>
      <c r="I20" s="1"/>
      <c r="J20" s="1"/>
      <c r="K20" s="1"/>
    </row>
    <row r="21" spans="1:11" x14ac:dyDescent="0.35">
      <c r="A21" s="1" t="s">
        <v>23</v>
      </c>
      <c r="B21" s="3">
        <f>'1 Inputs'!B4</f>
        <v>920</v>
      </c>
      <c r="C21" s="3"/>
      <c r="D21" s="3"/>
      <c r="E21" s="3"/>
      <c r="F21" s="3"/>
      <c r="G21" s="1"/>
      <c r="H21" s="1"/>
      <c r="I21" s="1"/>
      <c r="J21" s="1"/>
      <c r="K21" s="1"/>
    </row>
    <row r="22" spans="1:11" x14ac:dyDescent="0.35">
      <c r="A22" s="1" t="s">
        <v>116</v>
      </c>
      <c r="B22" s="3">
        <f>B20/B21</f>
        <v>93.908818676750172</v>
      </c>
      <c r="C22" s="3"/>
      <c r="D22" s="3"/>
      <c r="E22" s="3"/>
      <c r="F22" s="3"/>
      <c r="G22" s="1"/>
      <c r="H22" s="1"/>
      <c r="I22" s="1"/>
      <c r="J22" s="1"/>
      <c r="K22" s="1"/>
    </row>
    <row r="23" spans="1:11" x14ac:dyDescent="0.3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</row>
    <row r="24" spans="1:11" x14ac:dyDescent="0.3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</row>
    <row r="25" spans="1:11" x14ac:dyDescent="0.35">
      <c r="A25" s="5" t="s">
        <v>117</v>
      </c>
      <c r="B25" s="5" t="s">
        <v>118</v>
      </c>
      <c r="C25" s="5" t="s">
        <v>119</v>
      </c>
      <c r="D25" s="5" t="s">
        <v>120</v>
      </c>
      <c r="E25" s="5" t="s">
        <v>121</v>
      </c>
      <c r="F25" s="5" t="s">
        <v>122</v>
      </c>
      <c r="G25" s="1"/>
      <c r="H25" s="1"/>
      <c r="I25" s="1"/>
      <c r="J25" s="1"/>
      <c r="K25" s="1"/>
    </row>
    <row r="26" spans="1:11" x14ac:dyDescent="0.35">
      <c r="A26" s="9">
        <v>1.4999999999999999E-2</v>
      </c>
      <c r="B26" s="3">
        <f>(SUM(B12:F12)+(F10*(1+A26)/(0.08-A26))*F11-B19)/B21</f>
        <v>95.853404313946058</v>
      </c>
      <c r="C26" s="3">
        <f>(SUM(B12:F12)+(F10*(1+A26)/(0.085-A26))*F11-B19)/B21</f>
        <v>90.811647512871986</v>
      </c>
      <c r="D26" s="3">
        <f>(SUM(B12:F12)+(F10*(1+A26)/(0.09-A26))*F11-B19)/B21</f>
        <v>86.442124951941139</v>
      </c>
      <c r="E26" s="3">
        <f>(SUM(B12:F12)+(F10*(1+A26)/(0.095-A26))*F11-B19)/B21</f>
        <v>82.618792711126616</v>
      </c>
      <c r="F26" s="3">
        <f>(SUM(B12:F12)+(F10*(1+A26)/(0.1-A26))*F11-B19)/B21</f>
        <v>79.245264263349114</v>
      </c>
      <c r="G26" s="1"/>
      <c r="H26" s="1"/>
      <c r="I26" s="1"/>
      <c r="J26" s="1"/>
      <c r="K26" s="1"/>
    </row>
    <row r="27" spans="1:11" x14ac:dyDescent="0.35">
      <c r="A27" s="9">
        <v>0.02</v>
      </c>
      <c r="B27" s="3">
        <f>(SUM(B12:F12)+(F10*(1+A27)/(0.08-A27))*F11-B19)/B21</f>
        <v>102.11213689458975</v>
      </c>
      <c r="C27" s="3">
        <f>(SUM(B12:F12)+(F10*(1+A27)/(0.085-A27))*F11-B19)/B21</f>
        <v>96.201111679537377</v>
      </c>
      <c r="D27" s="3">
        <f>(SUM(B12:F12)+(F10*(1+A27)/(0.09-A27))*F11-B19)/B21</f>
        <v>91.134518638063938</v>
      </c>
      <c r="E27" s="3">
        <f>(SUM(B12:F12)+(F10*(1+A27)/(0.095-A27))*F11-B19)/B21</f>
        <v>86.743471335453606</v>
      </c>
      <c r="F27" s="3">
        <f>(SUM(B12:F12)+(F10*(1+A27)/(0.1-A27))*F11-B19)/B21</f>
        <v>82.901304945669565</v>
      </c>
      <c r="G27" s="1"/>
      <c r="H27" s="1"/>
      <c r="I27" s="1"/>
      <c r="J27" s="1"/>
      <c r="K27" s="1"/>
    </row>
    <row r="28" spans="1:11" x14ac:dyDescent="0.35">
      <c r="A28" s="9">
        <v>2.5000000000000001E-2</v>
      </c>
      <c r="B28" s="3">
        <f>(SUM(B12:F12)+(F10*(1+A28)/(0.08-A28))*F11-B19)/B21</f>
        <v>109.50882085353228</v>
      </c>
      <c r="C28" s="3">
        <f>(SUM(B12:F12)+(F10*(1+A28)/(0.085-A28))*F11-B19)/B21</f>
        <v>102.48881987398033</v>
      </c>
      <c r="D28" s="3">
        <f>(SUM(B12:F12)+(F10*(1+A28)/(0.09-A28))*F11-B19)/B21</f>
        <v>96.54881904512871</v>
      </c>
      <c r="E28" s="3">
        <f>(SUM(B12:F12)+(F10*(1+A28)/(0.095-A28))*F11-B19)/B21</f>
        <v>91.457389763255861</v>
      </c>
      <c r="F28" s="3">
        <f>(SUM(B12:F12)+(F10*(1+A28)/(0.1-A28))*F11-B19)/B21</f>
        <v>87.044817718966073</v>
      </c>
      <c r="G28" s="1"/>
      <c r="H28" s="1"/>
      <c r="I28" s="1"/>
      <c r="J28" s="1"/>
      <c r="K28" s="1"/>
    </row>
    <row r="29" spans="1:11" x14ac:dyDescent="0.35">
      <c r="A29" s="9">
        <v>0.03</v>
      </c>
      <c r="B29" s="3">
        <f>(SUM(B12:F12)+(F10*(1+A29)/(0.08-A29))*F11-B19)/B21</f>
        <v>118.38484160426333</v>
      </c>
      <c r="C29" s="3">
        <f>(SUM(B12:F12)+(F10*(1+A29)/(0.085-A29))*F11-B19)/B21</f>
        <v>109.91974774014018</v>
      </c>
      <c r="D29" s="3">
        <f>(SUM(B12:F12)+(F10*(1+A29)/(0.09-A29))*F11-B19)/B21</f>
        <v>102.86550285337094</v>
      </c>
      <c r="E29" s="3">
        <f>(SUM(B12:F12)+(F10*(1+A29)/(0.095-A29))*F11-B19)/B21</f>
        <v>96.896526410720014</v>
      </c>
      <c r="F29" s="3">
        <f>(SUM(B12:F12)+(F10*(1+A29)/(0.1-A29))*F11-B19)/B21</f>
        <v>91.780260888447799</v>
      </c>
      <c r="G29" s="1"/>
      <c r="H29" s="1"/>
      <c r="I29" s="1"/>
      <c r="J29" s="1"/>
      <c r="K29" s="1"/>
    </row>
    <row r="30" spans="1:11" x14ac:dyDescent="0.35">
      <c r="A30" s="9">
        <v>3.5000000000000003E-2</v>
      </c>
      <c r="B30" s="3">
        <f>(SUM(B12:F12)+(F10*(1+A30)/(0.08-A30))*F11-B19)/B21</f>
        <v>129.23331141071233</v>
      </c>
      <c r="C30" s="3">
        <f>(SUM(B12:F12)+(F10*(1+A30)/(0.085-A30))*F11-B19)/B21</f>
        <v>118.83686117953204</v>
      </c>
      <c r="D30" s="3">
        <f>(SUM(B12:F12)+(F10*(1+A30)/(0.09-A30))*F11-B19)/B21</f>
        <v>110.33067462674812</v>
      </c>
      <c r="E30" s="3">
        <f>(SUM(B12:F12)+(F10*(1+A30)/(0.095-A30))*F11-B19)/B21</f>
        <v>103.24218583276152</v>
      </c>
      <c r="F30" s="3">
        <f>(SUM(B12:F12)+(F10*(1+A30)/(0.1-A30))*F11-B19)/B21</f>
        <v>97.244233776311333</v>
      </c>
      <c r="G30" s="1"/>
      <c r="H30" s="1"/>
      <c r="I30" s="1"/>
      <c r="J30" s="1"/>
      <c r="K30" s="1"/>
    </row>
    <row r="31" spans="1:11" x14ac:dyDescent="0.3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</row>
    <row r="32" spans="1:11" x14ac:dyDescent="0.3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</row>
    <row r="33" spans="1:11" x14ac:dyDescent="0.3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</row>
    <row r="34" spans="1:11" x14ac:dyDescent="0.3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</row>
    <row r="35" spans="1:11" x14ac:dyDescent="0.3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</row>
    <row r="36" spans="1:11" x14ac:dyDescent="0.3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</row>
    <row r="37" spans="1:11" x14ac:dyDescent="0.3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</row>
    <row r="38" spans="1:11" x14ac:dyDescent="0.3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</row>
    <row r="39" spans="1:11" x14ac:dyDescent="0.3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</row>
    <row r="40" spans="1:11" x14ac:dyDescent="0.3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</row>
    <row r="41" spans="1:11" x14ac:dyDescent="0.3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</row>
    <row r="42" spans="1:11" x14ac:dyDescent="0.3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</row>
    <row r="43" spans="1:11" x14ac:dyDescent="0.3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</row>
    <row r="44" spans="1:11" x14ac:dyDescent="0.3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</row>
    <row r="45" spans="1:11" x14ac:dyDescent="0.3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</row>
    <row r="46" spans="1:11" x14ac:dyDescent="0.3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</row>
    <row r="47" spans="1:11" x14ac:dyDescent="0.3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</row>
    <row r="48" spans="1:11" x14ac:dyDescent="0.3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</row>
    <row r="49" spans="1:11" x14ac:dyDescent="0.3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</row>
    <row r="50" spans="1:11" x14ac:dyDescent="0.3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</row>
    <row r="51" spans="1:11" x14ac:dyDescent="0.3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</row>
    <row r="52" spans="1:11" x14ac:dyDescent="0.3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</row>
    <row r="53" spans="1:11" x14ac:dyDescent="0.3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</row>
    <row r="54" spans="1:11" x14ac:dyDescent="0.3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</row>
    <row r="55" spans="1:11" x14ac:dyDescent="0.3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</row>
    <row r="56" spans="1:11" x14ac:dyDescent="0.3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</row>
    <row r="57" spans="1:11" x14ac:dyDescent="0.3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</row>
    <row r="58" spans="1:11" x14ac:dyDescent="0.3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</row>
    <row r="59" spans="1:11" x14ac:dyDescent="0.3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</row>
    <row r="60" spans="1:11" x14ac:dyDescent="0.3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</row>
    <row r="61" spans="1:11" x14ac:dyDescent="0.3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</row>
    <row r="62" spans="1:11" x14ac:dyDescent="0.3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</row>
    <row r="63" spans="1:11" x14ac:dyDescent="0.3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</row>
    <row r="64" spans="1:11" x14ac:dyDescent="0.3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</row>
    <row r="65" spans="1:11" x14ac:dyDescent="0.3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</row>
    <row r="66" spans="1:11" x14ac:dyDescent="0.3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</row>
    <row r="67" spans="1:11" x14ac:dyDescent="0.3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</row>
    <row r="68" spans="1:11" x14ac:dyDescent="0.3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</row>
    <row r="69" spans="1:11" x14ac:dyDescent="0.3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</row>
    <row r="70" spans="1:11" x14ac:dyDescent="0.3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</row>
    <row r="71" spans="1:11" x14ac:dyDescent="0.3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</row>
    <row r="72" spans="1:11" x14ac:dyDescent="0.3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</row>
    <row r="73" spans="1:11" x14ac:dyDescent="0.3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</row>
    <row r="74" spans="1:11" x14ac:dyDescent="0.3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</row>
    <row r="75" spans="1:11" x14ac:dyDescent="0.3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</row>
    <row r="76" spans="1:11" x14ac:dyDescent="0.3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</row>
    <row r="77" spans="1:11" x14ac:dyDescent="0.3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</row>
    <row r="78" spans="1:11" x14ac:dyDescent="0.3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</row>
    <row r="79" spans="1:11" x14ac:dyDescent="0.3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</row>
    <row r="80" spans="1:11" x14ac:dyDescent="0.3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80"/>
  <sheetViews>
    <sheetView workbookViewId="0">
      <selection activeCell="B4" sqref="B4"/>
    </sheetView>
  </sheetViews>
  <sheetFormatPr defaultRowHeight="14.5" x14ac:dyDescent="0.35"/>
  <cols>
    <col min="1" max="1" width="28" customWidth="1"/>
    <col min="2" max="9" width="18" customWidth="1"/>
  </cols>
  <sheetData>
    <row r="1" spans="1:11" ht="16" customHeight="1" x14ac:dyDescent="0.4">
      <c r="A1" s="4" t="s">
        <v>123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 x14ac:dyDescent="0.35">
      <c r="A2" s="1"/>
      <c r="B2" s="1"/>
      <c r="C2" s="1"/>
      <c r="D2" s="1"/>
      <c r="E2" s="1"/>
      <c r="F2" s="1"/>
      <c r="G2" s="1"/>
      <c r="H2" s="1"/>
      <c r="I2" s="1"/>
      <c r="J2" s="1"/>
      <c r="K2" s="1"/>
    </row>
    <row r="3" spans="1:11" x14ac:dyDescent="0.35">
      <c r="A3" s="5" t="s">
        <v>124</v>
      </c>
      <c r="B3" s="5" t="s">
        <v>125</v>
      </c>
      <c r="C3" s="5" t="s">
        <v>126</v>
      </c>
      <c r="D3" s="5" t="s">
        <v>127</v>
      </c>
      <c r="E3" s="5" t="s">
        <v>72</v>
      </c>
      <c r="F3" s="5" t="s">
        <v>128</v>
      </c>
      <c r="G3" s="5" t="s">
        <v>129</v>
      </c>
      <c r="H3" s="5" t="s">
        <v>130</v>
      </c>
      <c r="I3" s="1"/>
      <c r="J3" s="1"/>
      <c r="K3" s="1"/>
    </row>
    <row r="4" spans="1:11" x14ac:dyDescent="0.35">
      <c r="A4" s="1" t="s">
        <v>131</v>
      </c>
      <c r="B4" s="1" t="s">
        <v>132</v>
      </c>
      <c r="C4" s="8">
        <v>51584</v>
      </c>
      <c r="D4" s="8">
        <v>49600</v>
      </c>
      <c r="E4" s="8">
        <v>33500</v>
      </c>
      <c r="F4" s="8">
        <v>7500</v>
      </c>
      <c r="G4" s="11">
        <f t="shared" ref="G4:G9" si="0">D4/E4</f>
        <v>1.4805970149253731</v>
      </c>
      <c r="H4" s="11">
        <f t="shared" ref="H4:H9" si="1">D4/F4</f>
        <v>6.6133333333333333</v>
      </c>
      <c r="I4" s="1"/>
      <c r="J4" s="1"/>
      <c r="K4" s="1"/>
    </row>
    <row r="5" spans="1:11" x14ac:dyDescent="0.35">
      <c r="A5" s="1" t="s">
        <v>133</v>
      </c>
      <c r="B5" s="1" t="s">
        <v>134</v>
      </c>
      <c r="C5" s="8">
        <v>45000</v>
      </c>
      <c r="D5" s="8">
        <v>43000</v>
      </c>
      <c r="E5" s="8">
        <v>27000</v>
      </c>
      <c r="F5" s="8">
        <v>5050</v>
      </c>
      <c r="G5" s="11">
        <f t="shared" si="0"/>
        <v>1.5925925925925926</v>
      </c>
      <c r="H5" s="11">
        <f t="shared" si="1"/>
        <v>8.5148514851485153</v>
      </c>
      <c r="I5" s="1"/>
      <c r="J5" s="1"/>
      <c r="K5" s="1"/>
    </row>
    <row r="6" spans="1:11" x14ac:dyDescent="0.35">
      <c r="A6" s="1" t="s">
        <v>135</v>
      </c>
      <c r="B6" s="1" t="s">
        <v>136</v>
      </c>
      <c r="C6" s="8">
        <v>29000</v>
      </c>
      <c r="D6" s="8">
        <v>17000</v>
      </c>
      <c r="E6" s="8">
        <v>3036</v>
      </c>
      <c r="F6" s="8">
        <v>1604</v>
      </c>
      <c r="G6" s="11">
        <f t="shared" si="0"/>
        <v>5.5994729907773388</v>
      </c>
      <c r="H6" s="11">
        <f t="shared" si="1"/>
        <v>10.598503740648379</v>
      </c>
      <c r="I6" s="1"/>
      <c r="J6" s="1"/>
      <c r="K6" s="1"/>
    </row>
    <row r="7" spans="1:11" x14ac:dyDescent="0.35">
      <c r="A7" s="1" t="s">
        <v>137</v>
      </c>
      <c r="B7" s="1" t="s">
        <v>138</v>
      </c>
      <c r="C7" s="8">
        <v>27200</v>
      </c>
      <c r="D7" s="8">
        <v>55700</v>
      </c>
      <c r="E7" s="8">
        <v>20600</v>
      </c>
      <c r="F7" s="8">
        <v>8490</v>
      </c>
      <c r="G7" s="11">
        <f t="shared" si="0"/>
        <v>2.703883495145631</v>
      </c>
      <c r="H7" s="11">
        <f t="shared" si="1"/>
        <v>6.5606595995288579</v>
      </c>
      <c r="I7" s="1"/>
      <c r="J7" s="1"/>
      <c r="K7" s="1"/>
    </row>
    <row r="8" spans="1:11" x14ac:dyDescent="0.35">
      <c r="A8" s="1" t="s">
        <v>139</v>
      </c>
      <c r="B8" s="1" t="s">
        <v>139</v>
      </c>
      <c r="C8" s="8">
        <v>35000</v>
      </c>
      <c r="D8" s="8">
        <v>48000</v>
      </c>
      <c r="E8" s="8">
        <v>13600</v>
      </c>
      <c r="F8" s="8">
        <v>5330</v>
      </c>
      <c r="G8" s="11">
        <f t="shared" si="0"/>
        <v>3.5294117647058822</v>
      </c>
      <c r="H8" s="11">
        <f t="shared" si="1"/>
        <v>9.0056285178236397</v>
      </c>
      <c r="I8" s="1"/>
      <c r="J8" s="1"/>
      <c r="K8" s="1"/>
    </row>
    <row r="9" spans="1:11" x14ac:dyDescent="0.35">
      <c r="A9" s="1" t="s">
        <v>140</v>
      </c>
      <c r="B9" s="1" t="s">
        <v>141</v>
      </c>
      <c r="C9" s="8">
        <v>22100</v>
      </c>
      <c r="D9" s="8">
        <v>22100</v>
      </c>
      <c r="E9" s="8">
        <v>12200</v>
      </c>
      <c r="F9" s="8">
        <v>4910</v>
      </c>
      <c r="G9" s="11">
        <f t="shared" si="0"/>
        <v>1.8114754098360655</v>
      </c>
      <c r="H9" s="11">
        <f t="shared" si="1"/>
        <v>4.5010183299389004</v>
      </c>
      <c r="I9" s="1"/>
      <c r="J9" s="1"/>
      <c r="K9" s="1"/>
    </row>
    <row r="10" spans="1:11" x14ac:dyDescent="0.35">
      <c r="A10" s="1" t="s">
        <v>142</v>
      </c>
      <c r="B10" s="1"/>
      <c r="C10" s="8">
        <f t="shared" ref="C10:H10" si="2">MEDIAN(C4:C9)</f>
        <v>32000</v>
      </c>
      <c r="D10" s="8">
        <f t="shared" si="2"/>
        <v>45500</v>
      </c>
      <c r="E10" s="8">
        <f t="shared" si="2"/>
        <v>17100</v>
      </c>
      <c r="F10" s="8">
        <f t="shared" si="2"/>
        <v>5190</v>
      </c>
      <c r="G10" s="11">
        <f t="shared" si="2"/>
        <v>2.2576794524908483</v>
      </c>
      <c r="H10" s="11">
        <f t="shared" si="2"/>
        <v>7.5640924092409243</v>
      </c>
      <c r="I10" s="1"/>
      <c r="J10" s="1"/>
      <c r="K10" s="1"/>
    </row>
    <row r="11" spans="1:11" ht="26" x14ac:dyDescent="0.35">
      <c r="A11" s="1" t="s">
        <v>143</v>
      </c>
      <c r="B11" s="1"/>
      <c r="C11" s="8"/>
      <c r="D11" s="8"/>
      <c r="E11" s="8">
        <f>'3 Forecast'!C4</f>
        <v>34830.6</v>
      </c>
      <c r="F11" s="8"/>
      <c r="G11" s="11">
        <f>G10</f>
        <v>2.2576794524908483</v>
      </c>
      <c r="H11" s="11">
        <f>'3 Forecast'!C4*G10</f>
        <v>78636.329937927745</v>
      </c>
      <c r="I11" s="1"/>
      <c r="J11" s="1"/>
      <c r="K11" s="1"/>
    </row>
    <row r="12" spans="1:11" ht="26" x14ac:dyDescent="0.35">
      <c r="A12" s="1" t="s">
        <v>144</v>
      </c>
      <c r="B12" s="1"/>
      <c r="C12" s="8"/>
      <c r="D12" s="8"/>
      <c r="E12" s="8">
        <f>'3 Forecast'!C6+'3 Forecast'!C18</f>
        <v>7349.2565999999997</v>
      </c>
      <c r="F12" s="8"/>
      <c r="G12" s="11">
        <f>H10</f>
        <v>7.5640924092409243</v>
      </c>
      <c r="H12" s="11">
        <f>('3 Forecast'!C6+'3 Forecast'!C18)*H10</f>
        <v>55590.456061623765</v>
      </c>
      <c r="I12" s="1"/>
      <c r="J12" s="1"/>
      <c r="K12" s="1"/>
    </row>
    <row r="13" spans="1:11" x14ac:dyDescent="0.35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</row>
    <row r="14" spans="1:11" x14ac:dyDescent="0.35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</row>
    <row r="15" spans="1:11" x14ac:dyDescent="0.3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</row>
    <row r="16" spans="1:11" x14ac:dyDescent="0.35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</row>
    <row r="17" spans="1:11" x14ac:dyDescent="0.35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</row>
    <row r="18" spans="1:11" x14ac:dyDescent="0.35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</row>
    <row r="19" spans="1:11" x14ac:dyDescent="0.3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</row>
    <row r="20" spans="1:11" x14ac:dyDescent="0.3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</row>
    <row r="21" spans="1:11" x14ac:dyDescent="0.3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</row>
    <row r="22" spans="1:11" x14ac:dyDescent="0.3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</row>
    <row r="23" spans="1:11" x14ac:dyDescent="0.3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</row>
    <row r="24" spans="1:11" x14ac:dyDescent="0.3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</row>
    <row r="25" spans="1:11" x14ac:dyDescent="0.3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</row>
    <row r="26" spans="1:11" x14ac:dyDescent="0.3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</row>
    <row r="27" spans="1:11" x14ac:dyDescent="0.3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</row>
    <row r="28" spans="1:11" x14ac:dyDescent="0.3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</row>
    <row r="29" spans="1:11" x14ac:dyDescent="0.3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</row>
    <row r="30" spans="1:11" x14ac:dyDescent="0.3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</row>
    <row r="31" spans="1:11" x14ac:dyDescent="0.3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</row>
    <row r="32" spans="1:11" x14ac:dyDescent="0.3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</row>
    <row r="33" spans="1:11" x14ac:dyDescent="0.3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</row>
    <row r="34" spans="1:11" x14ac:dyDescent="0.3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</row>
    <row r="35" spans="1:11" x14ac:dyDescent="0.3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</row>
    <row r="36" spans="1:11" x14ac:dyDescent="0.3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</row>
    <row r="37" spans="1:11" x14ac:dyDescent="0.3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</row>
    <row r="38" spans="1:11" x14ac:dyDescent="0.3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</row>
    <row r="39" spans="1:11" x14ac:dyDescent="0.3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</row>
    <row r="40" spans="1:11" x14ac:dyDescent="0.3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</row>
    <row r="41" spans="1:11" x14ac:dyDescent="0.3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</row>
    <row r="42" spans="1:11" x14ac:dyDescent="0.3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</row>
    <row r="43" spans="1:11" x14ac:dyDescent="0.3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</row>
    <row r="44" spans="1:11" x14ac:dyDescent="0.3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</row>
    <row r="45" spans="1:11" x14ac:dyDescent="0.3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</row>
    <row r="46" spans="1:11" x14ac:dyDescent="0.3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</row>
    <row r="47" spans="1:11" x14ac:dyDescent="0.3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</row>
    <row r="48" spans="1:11" x14ac:dyDescent="0.3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</row>
    <row r="49" spans="1:11" x14ac:dyDescent="0.3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</row>
    <row r="50" spans="1:11" x14ac:dyDescent="0.3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</row>
    <row r="51" spans="1:11" x14ac:dyDescent="0.3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</row>
    <row r="52" spans="1:11" x14ac:dyDescent="0.3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</row>
    <row r="53" spans="1:11" x14ac:dyDescent="0.3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</row>
    <row r="54" spans="1:11" x14ac:dyDescent="0.3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</row>
    <row r="55" spans="1:11" x14ac:dyDescent="0.3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</row>
    <row r="56" spans="1:11" x14ac:dyDescent="0.3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</row>
    <row r="57" spans="1:11" x14ac:dyDescent="0.3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</row>
    <row r="58" spans="1:11" x14ac:dyDescent="0.3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</row>
    <row r="59" spans="1:11" x14ac:dyDescent="0.3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</row>
    <row r="60" spans="1:11" x14ac:dyDescent="0.3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</row>
    <row r="61" spans="1:11" x14ac:dyDescent="0.3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</row>
    <row r="62" spans="1:11" x14ac:dyDescent="0.3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</row>
    <row r="63" spans="1:11" x14ac:dyDescent="0.3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</row>
    <row r="64" spans="1:11" x14ac:dyDescent="0.3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</row>
    <row r="65" spans="1:11" x14ac:dyDescent="0.3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</row>
    <row r="66" spans="1:11" x14ac:dyDescent="0.3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</row>
    <row r="67" spans="1:11" x14ac:dyDescent="0.3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</row>
    <row r="68" spans="1:11" x14ac:dyDescent="0.3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</row>
    <row r="69" spans="1:11" x14ac:dyDescent="0.3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</row>
    <row r="70" spans="1:11" x14ac:dyDescent="0.3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</row>
    <row r="71" spans="1:11" x14ac:dyDescent="0.3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</row>
    <row r="72" spans="1:11" x14ac:dyDescent="0.3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</row>
    <row r="73" spans="1:11" x14ac:dyDescent="0.3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</row>
    <row r="74" spans="1:11" x14ac:dyDescent="0.3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</row>
    <row r="75" spans="1:11" x14ac:dyDescent="0.3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</row>
    <row r="76" spans="1:11" x14ac:dyDescent="0.3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</row>
    <row r="77" spans="1:11" x14ac:dyDescent="0.3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</row>
    <row r="78" spans="1:11" x14ac:dyDescent="0.3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</row>
    <row r="79" spans="1:11" x14ac:dyDescent="0.3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</row>
    <row r="80" spans="1:11" x14ac:dyDescent="0.3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K80"/>
  <sheetViews>
    <sheetView topLeftCell="A5" workbookViewId="0">
      <selection activeCell="C10" sqref="C10"/>
    </sheetView>
  </sheetViews>
  <sheetFormatPr defaultRowHeight="14.5" x14ac:dyDescent="0.35"/>
  <cols>
    <col min="1" max="1" width="30.453125" bestFit="1" customWidth="1"/>
    <col min="2" max="9" width="18" customWidth="1"/>
  </cols>
  <sheetData>
    <row r="1" spans="1:11" ht="16" customHeight="1" x14ac:dyDescent="0.4">
      <c r="A1" s="4" t="s">
        <v>145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 x14ac:dyDescent="0.35">
      <c r="A2" s="1"/>
      <c r="B2" s="1"/>
      <c r="C2" s="1"/>
      <c r="D2" s="1"/>
      <c r="E2" s="1"/>
      <c r="F2" s="1"/>
      <c r="G2" s="1"/>
      <c r="H2" s="1"/>
      <c r="I2" s="1"/>
      <c r="J2" s="1"/>
      <c r="K2" s="1"/>
    </row>
    <row r="3" spans="1:11" x14ac:dyDescent="0.35">
      <c r="A3" s="5" t="s">
        <v>146</v>
      </c>
      <c r="B3" s="5" t="s">
        <v>147</v>
      </c>
      <c r="C3" s="5" t="s">
        <v>148</v>
      </c>
      <c r="D3" s="5" t="s">
        <v>18</v>
      </c>
      <c r="E3" s="5" t="s">
        <v>149</v>
      </c>
      <c r="F3" s="5" t="s">
        <v>150</v>
      </c>
      <c r="G3" s="5" t="s">
        <v>151</v>
      </c>
      <c r="H3" s="5" t="s">
        <v>152</v>
      </c>
      <c r="I3" s="1"/>
      <c r="J3" s="1"/>
      <c r="K3" s="1"/>
    </row>
    <row r="4" spans="1:11" ht="38.5" x14ac:dyDescent="0.35">
      <c r="A4" s="1">
        <v>2020</v>
      </c>
      <c r="B4" s="1" t="s">
        <v>131</v>
      </c>
      <c r="C4" s="1" t="s">
        <v>153</v>
      </c>
      <c r="D4" s="3">
        <v>4000</v>
      </c>
      <c r="E4" s="1" t="s">
        <v>154</v>
      </c>
      <c r="F4" s="1" t="s">
        <v>155</v>
      </c>
      <c r="G4" s="11"/>
      <c r="H4" s="11"/>
      <c r="I4" s="1"/>
      <c r="J4" s="1"/>
      <c r="K4" s="1"/>
    </row>
    <row r="5" spans="1:11" ht="26" x14ac:dyDescent="0.35">
      <c r="A5" s="1">
        <v>2022</v>
      </c>
      <c r="B5" s="1" t="s">
        <v>133</v>
      </c>
      <c r="C5" s="1" t="s">
        <v>156</v>
      </c>
      <c r="D5" s="3">
        <v>29000</v>
      </c>
      <c r="E5" s="1" t="s">
        <v>157</v>
      </c>
      <c r="F5" s="1" t="s">
        <v>158</v>
      </c>
      <c r="G5" s="11"/>
      <c r="H5" s="11"/>
      <c r="I5" s="1"/>
      <c r="J5" s="1"/>
      <c r="K5" s="1"/>
    </row>
    <row r="6" spans="1:11" ht="38.5" x14ac:dyDescent="0.35">
      <c r="A6" s="1">
        <v>2024</v>
      </c>
      <c r="B6" s="1" t="s">
        <v>159</v>
      </c>
      <c r="C6" s="1" t="s">
        <v>160</v>
      </c>
      <c r="D6" s="3">
        <v>1000</v>
      </c>
      <c r="E6" s="1" t="s">
        <v>154</v>
      </c>
      <c r="F6" s="1" t="s">
        <v>161</v>
      </c>
      <c r="G6" s="11"/>
      <c r="H6" s="11"/>
      <c r="I6" s="1"/>
      <c r="J6" s="1"/>
      <c r="K6" s="1"/>
    </row>
    <row r="7" spans="1:11" ht="26" x14ac:dyDescent="0.35">
      <c r="A7" s="1">
        <v>2019</v>
      </c>
      <c r="B7" s="1" t="s">
        <v>137</v>
      </c>
      <c r="C7" s="1" t="s">
        <v>162</v>
      </c>
      <c r="D7" s="3">
        <v>22000</v>
      </c>
      <c r="E7" s="1" t="s">
        <v>157</v>
      </c>
      <c r="F7" s="1" t="s">
        <v>163</v>
      </c>
      <c r="G7" s="11"/>
      <c r="H7" s="11">
        <v>10</v>
      </c>
      <c r="I7" s="1"/>
      <c r="J7" s="1"/>
      <c r="K7" s="1"/>
    </row>
    <row r="8" spans="1:11" ht="26" x14ac:dyDescent="0.35">
      <c r="A8" s="1">
        <v>2019</v>
      </c>
      <c r="B8" s="1" t="s">
        <v>140</v>
      </c>
      <c r="C8" s="1" t="s">
        <v>164</v>
      </c>
      <c r="D8" s="3">
        <v>21500</v>
      </c>
      <c r="E8" s="1" t="s">
        <v>157</v>
      </c>
      <c r="F8" s="1" t="s">
        <v>165</v>
      </c>
      <c r="G8" s="11"/>
      <c r="H8" s="11">
        <v>12</v>
      </c>
      <c r="I8" s="1"/>
      <c r="J8" s="1"/>
      <c r="K8" s="1"/>
    </row>
    <row r="9" spans="1:11" ht="26" x14ac:dyDescent="0.35">
      <c r="A9" s="1">
        <v>2020</v>
      </c>
      <c r="B9" s="1" t="s">
        <v>166</v>
      </c>
      <c r="C9" s="1" t="s">
        <v>167</v>
      </c>
      <c r="D9" s="3">
        <v>8600</v>
      </c>
      <c r="E9" s="1" t="s">
        <v>168</v>
      </c>
      <c r="F9" s="1" t="s">
        <v>169</v>
      </c>
      <c r="G9" s="11"/>
      <c r="H9" s="11">
        <v>9</v>
      </c>
      <c r="I9" s="1"/>
      <c r="J9" s="1"/>
      <c r="K9" s="1"/>
    </row>
    <row r="10" spans="1:11" x14ac:dyDescent="0.35">
      <c r="A10" s="1" t="s">
        <v>142</v>
      </c>
      <c r="B10" s="1"/>
      <c r="C10" s="1"/>
      <c r="D10" s="3">
        <f>MEDIAN(D4:D9)</f>
        <v>15050</v>
      </c>
      <c r="E10" s="1"/>
      <c r="F10" s="1"/>
      <c r="G10" s="11"/>
      <c r="H10" s="11">
        <f>MEDIAN(H7:H9)</f>
        <v>10</v>
      </c>
      <c r="I10" s="1"/>
      <c r="J10" s="1"/>
      <c r="K10" s="1"/>
    </row>
    <row r="11" spans="1:11" x14ac:dyDescent="0.3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</row>
    <row r="12" spans="1:11" ht="76" x14ac:dyDescent="0.35">
      <c r="A12" s="1" t="s">
        <v>170</v>
      </c>
      <c r="B12" s="1" t="s">
        <v>171</v>
      </c>
      <c r="C12" s="1"/>
      <c r="D12" s="1"/>
      <c r="E12" s="1"/>
      <c r="F12" s="1"/>
      <c r="G12" s="1"/>
      <c r="H12" s="1"/>
      <c r="I12" s="1"/>
      <c r="J12" s="1"/>
      <c r="K12" s="1"/>
    </row>
    <row r="13" spans="1:11" ht="76" x14ac:dyDescent="0.35">
      <c r="A13" s="1" t="s">
        <v>172</v>
      </c>
      <c r="B13" s="1" t="s">
        <v>173</v>
      </c>
      <c r="C13" s="1"/>
      <c r="D13" s="1"/>
      <c r="E13" s="1"/>
      <c r="F13" s="1"/>
      <c r="G13" s="1"/>
      <c r="H13" s="1"/>
      <c r="I13" s="1"/>
      <c r="J13" s="1"/>
      <c r="K13" s="1"/>
    </row>
    <row r="14" spans="1:11" x14ac:dyDescent="0.35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</row>
    <row r="15" spans="1:11" x14ac:dyDescent="0.3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</row>
    <row r="16" spans="1:11" x14ac:dyDescent="0.35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</row>
    <row r="17" spans="1:11" x14ac:dyDescent="0.35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</row>
    <row r="18" spans="1:11" x14ac:dyDescent="0.35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</row>
    <row r="19" spans="1:11" x14ac:dyDescent="0.3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</row>
    <row r="20" spans="1:11" x14ac:dyDescent="0.3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</row>
    <row r="21" spans="1:11" x14ac:dyDescent="0.3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</row>
    <row r="22" spans="1:11" x14ac:dyDescent="0.3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</row>
    <row r="23" spans="1:11" x14ac:dyDescent="0.3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</row>
    <row r="24" spans="1:11" x14ac:dyDescent="0.3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</row>
    <row r="25" spans="1:11" x14ac:dyDescent="0.3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</row>
    <row r="26" spans="1:11" x14ac:dyDescent="0.3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</row>
    <row r="27" spans="1:11" x14ac:dyDescent="0.3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</row>
    <row r="28" spans="1:11" x14ac:dyDescent="0.3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</row>
    <row r="29" spans="1:11" x14ac:dyDescent="0.3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</row>
    <row r="30" spans="1:11" x14ac:dyDescent="0.3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</row>
    <row r="31" spans="1:11" x14ac:dyDescent="0.3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</row>
    <row r="32" spans="1:11" x14ac:dyDescent="0.3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</row>
    <row r="33" spans="1:11" x14ac:dyDescent="0.3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</row>
    <row r="34" spans="1:11" x14ac:dyDescent="0.3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</row>
    <row r="35" spans="1:11" x14ac:dyDescent="0.3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</row>
    <row r="36" spans="1:11" x14ac:dyDescent="0.3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</row>
    <row r="37" spans="1:11" x14ac:dyDescent="0.3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</row>
    <row r="38" spans="1:11" x14ac:dyDescent="0.3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</row>
    <row r="39" spans="1:11" x14ac:dyDescent="0.3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</row>
    <row r="40" spans="1:11" x14ac:dyDescent="0.3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</row>
    <row r="41" spans="1:11" x14ac:dyDescent="0.3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</row>
    <row r="42" spans="1:11" x14ac:dyDescent="0.3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</row>
    <row r="43" spans="1:11" x14ac:dyDescent="0.3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</row>
    <row r="44" spans="1:11" x14ac:dyDescent="0.3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</row>
    <row r="45" spans="1:11" x14ac:dyDescent="0.3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</row>
    <row r="46" spans="1:11" x14ac:dyDescent="0.3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</row>
    <row r="47" spans="1:11" x14ac:dyDescent="0.3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</row>
    <row r="48" spans="1:11" x14ac:dyDescent="0.3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</row>
    <row r="49" spans="1:11" x14ac:dyDescent="0.3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</row>
    <row r="50" spans="1:11" x14ac:dyDescent="0.3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</row>
    <row r="51" spans="1:11" x14ac:dyDescent="0.3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</row>
    <row r="52" spans="1:11" x14ac:dyDescent="0.3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</row>
    <row r="53" spans="1:11" x14ac:dyDescent="0.3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</row>
    <row r="54" spans="1:11" x14ac:dyDescent="0.3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</row>
    <row r="55" spans="1:11" x14ac:dyDescent="0.3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</row>
    <row r="56" spans="1:11" x14ac:dyDescent="0.3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</row>
    <row r="57" spans="1:11" x14ac:dyDescent="0.3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</row>
    <row r="58" spans="1:11" x14ac:dyDescent="0.3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</row>
    <row r="59" spans="1:11" x14ac:dyDescent="0.3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</row>
    <row r="60" spans="1:11" x14ac:dyDescent="0.3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</row>
    <row r="61" spans="1:11" x14ac:dyDescent="0.3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</row>
    <row r="62" spans="1:11" x14ac:dyDescent="0.3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</row>
    <row r="63" spans="1:11" x14ac:dyDescent="0.3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</row>
    <row r="64" spans="1:11" x14ac:dyDescent="0.3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</row>
    <row r="65" spans="1:11" x14ac:dyDescent="0.3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</row>
    <row r="66" spans="1:11" x14ac:dyDescent="0.3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</row>
    <row r="67" spans="1:11" x14ac:dyDescent="0.3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</row>
    <row r="68" spans="1:11" x14ac:dyDescent="0.3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</row>
    <row r="69" spans="1:11" x14ac:dyDescent="0.3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</row>
    <row r="70" spans="1:11" x14ac:dyDescent="0.3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</row>
    <row r="71" spans="1:11" x14ac:dyDescent="0.3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</row>
    <row r="72" spans="1:11" x14ac:dyDescent="0.3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</row>
    <row r="73" spans="1:11" x14ac:dyDescent="0.3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</row>
    <row r="74" spans="1:11" x14ac:dyDescent="0.3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</row>
    <row r="75" spans="1:11" x14ac:dyDescent="0.3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</row>
    <row r="76" spans="1:11" x14ac:dyDescent="0.3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</row>
    <row r="77" spans="1:11" x14ac:dyDescent="0.3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</row>
    <row r="78" spans="1:11" x14ac:dyDescent="0.3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</row>
    <row r="79" spans="1:11" x14ac:dyDescent="0.3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</row>
    <row r="80" spans="1:11" x14ac:dyDescent="0.3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K80"/>
  <sheetViews>
    <sheetView workbookViewId="0">
      <selection activeCell="B7" sqref="B7"/>
    </sheetView>
  </sheetViews>
  <sheetFormatPr defaultRowHeight="14.5" x14ac:dyDescent="0.35"/>
  <cols>
    <col min="1" max="1" width="44.90625" bestFit="1" customWidth="1"/>
    <col min="2" max="9" width="18" customWidth="1"/>
  </cols>
  <sheetData>
    <row r="1" spans="1:11" ht="16" customHeight="1" x14ac:dyDescent="0.4">
      <c r="A1" s="4" t="s">
        <v>174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 x14ac:dyDescent="0.35">
      <c r="A2" s="1"/>
      <c r="B2" s="1"/>
      <c r="C2" s="1"/>
      <c r="D2" s="1"/>
      <c r="E2" s="1"/>
      <c r="F2" s="1"/>
      <c r="G2" s="1"/>
      <c r="H2" s="1"/>
      <c r="I2" s="1"/>
      <c r="J2" s="1"/>
      <c r="K2" s="1"/>
    </row>
    <row r="3" spans="1:11" x14ac:dyDescent="0.35">
      <c r="A3" s="5" t="s">
        <v>175</v>
      </c>
      <c r="B3" s="5" t="s">
        <v>176</v>
      </c>
      <c r="C3" s="5" t="s">
        <v>177</v>
      </c>
      <c r="D3" s="5" t="s">
        <v>178</v>
      </c>
      <c r="E3" s="5" t="s">
        <v>179</v>
      </c>
      <c r="F3" s="5" t="s">
        <v>180</v>
      </c>
      <c r="G3" s="5" t="s">
        <v>181</v>
      </c>
      <c r="H3" s="5" t="s">
        <v>3</v>
      </c>
      <c r="I3" s="1"/>
      <c r="J3" s="1"/>
      <c r="K3" s="1"/>
    </row>
    <row r="4" spans="1:11" ht="26" x14ac:dyDescent="0.35">
      <c r="A4" s="1" t="s">
        <v>63</v>
      </c>
      <c r="B4" s="3">
        <f>'1 Inputs'!B18</f>
        <v>6000</v>
      </c>
      <c r="C4" s="3" t="s">
        <v>182</v>
      </c>
      <c r="D4" s="3">
        <f>'3 Forecast'!C28</f>
        <v>20256</v>
      </c>
      <c r="E4" s="11">
        <f>'3 Forecast'!C31</f>
        <v>1.3559002533671229</v>
      </c>
      <c r="F4" s="11">
        <f>'3 Forecast'!C30</f>
        <v>5.9610031595576611</v>
      </c>
      <c r="G4" s="1" t="s">
        <v>183</v>
      </c>
      <c r="H4" s="1" t="s">
        <v>184</v>
      </c>
      <c r="I4" s="1"/>
      <c r="J4" s="1"/>
      <c r="K4" s="1"/>
    </row>
    <row r="5" spans="1:11" ht="26" x14ac:dyDescent="0.35">
      <c r="A5" s="1" t="s">
        <v>185</v>
      </c>
      <c r="B5" s="3">
        <v>1500</v>
      </c>
      <c r="C5" s="3" t="s">
        <v>186</v>
      </c>
      <c r="D5" s="3">
        <f>'3 Forecast'!C28-B5</f>
        <v>18756</v>
      </c>
      <c r="E5" s="11">
        <f>(D5-'3 Forecast'!C24)/('3 Forecast'!C6+'3 Forecast'!C18)</f>
        <v>1.1517979772267035</v>
      </c>
      <c r="F5" s="11">
        <f>IFERROR('3 Forecast'!C6/(ABS('3 Forecast'!C8)-B5*'1 Inputs'!$B$11),0)</f>
        <v>6.4377308594583056</v>
      </c>
      <c r="G5" s="1" t="s">
        <v>187</v>
      </c>
      <c r="H5" s="1" t="s">
        <v>188</v>
      </c>
      <c r="I5" s="1"/>
      <c r="J5" s="1"/>
      <c r="K5" s="1"/>
    </row>
    <row r="6" spans="1:11" ht="26" x14ac:dyDescent="0.35">
      <c r="A6" s="1" t="s">
        <v>189</v>
      </c>
      <c r="B6" s="3">
        <f>'1 Inputs'!B14</f>
        <v>3000</v>
      </c>
      <c r="C6" s="3" t="s">
        <v>190</v>
      </c>
      <c r="D6" s="3">
        <f>'3 Forecast'!C28+0.5*B6</f>
        <v>21756</v>
      </c>
      <c r="E6" s="11">
        <f>(D6-'3 Forecast'!C24)/('3 Forecast'!C6+'3 Forecast'!C18+'1 Inputs'!B15*'1 Inputs'!B16)</f>
        <v>1.5186738898238008</v>
      </c>
      <c r="F6" s="11">
        <f>IFERROR('3 Forecast'!C6/(ABS('3 Forecast'!C8)+0.5*B6*'1 Inputs'!$B$11),0)</f>
        <v>5.5500128700128695</v>
      </c>
      <c r="G6" s="1" t="s">
        <v>191</v>
      </c>
      <c r="H6" s="1" t="s">
        <v>192</v>
      </c>
      <c r="I6" s="1"/>
      <c r="J6" s="1"/>
      <c r="K6" s="1"/>
    </row>
    <row r="7" spans="1:11" ht="26" x14ac:dyDescent="0.35">
      <c r="A7" s="1" t="s">
        <v>50</v>
      </c>
      <c r="B7" s="3">
        <f>'1 Inputs'!B19</f>
        <v>1000</v>
      </c>
      <c r="C7" s="3" t="s">
        <v>193</v>
      </c>
      <c r="D7" s="3">
        <f>'3 Forecast'!C28</f>
        <v>20256</v>
      </c>
      <c r="E7" s="11">
        <f>'3 Forecast'!C31</f>
        <v>1.3559002533671229</v>
      </c>
      <c r="F7" s="11">
        <f>'3 Forecast'!C30</f>
        <v>5.9610031595576611</v>
      </c>
      <c r="G7" s="1" t="s">
        <v>194</v>
      </c>
      <c r="H7" s="1" t="s">
        <v>195</v>
      </c>
      <c r="I7" s="1"/>
      <c r="J7" s="1"/>
      <c r="K7" s="1"/>
    </row>
    <row r="8" spans="1:11" x14ac:dyDescent="0.35">
      <c r="A8" s="1"/>
      <c r="B8" s="1"/>
      <c r="C8" s="1"/>
      <c r="D8" s="1"/>
      <c r="E8" s="1"/>
      <c r="F8" s="1"/>
      <c r="G8" s="1"/>
      <c r="H8" s="1"/>
      <c r="I8" s="1"/>
      <c r="J8" s="1"/>
      <c r="K8" s="1"/>
    </row>
    <row r="9" spans="1:11" x14ac:dyDescent="0.35">
      <c r="A9" s="1"/>
      <c r="B9" s="1"/>
      <c r="C9" s="1"/>
      <c r="D9" s="1"/>
      <c r="E9" s="1"/>
      <c r="F9" s="1"/>
      <c r="G9" s="1"/>
      <c r="H9" s="1"/>
      <c r="I9" s="1"/>
      <c r="J9" s="1"/>
      <c r="K9" s="1"/>
    </row>
    <row r="10" spans="1:11" x14ac:dyDescent="0.35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</row>
    <row r="11" spans="1:11" x14ac:dyDescent="0.3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</row>
    <row r="12" spans="1:11" x14ac:dyDescent="0.35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</row>
    <row r="13" spans="1:11" x14ac:dyDescent="0.35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</row>
    <row r="14" spans="1:11" x14ac:dyDescent="0.35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</row>
    <row r="15" spans="1:11" x14ac:dyDescent="0.3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</row>
    <row r="16" spans="1:11" x14ac:dyDescent="0.35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</row>
    <row r="17" spans="1:11" x14ac:dyDescent="0.35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</row>
    <row r="18" spans="1:11" x14ac:dyDescent="0.35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</row>
    <row r="19" spans="1:11" x14ac:dyDescent="0.3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</row>
    <row r="20" spans="1:11" x14ac:dyDescent="0.3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</row>
    <row r="21" spans="1:11" x14ac:dyDescent="0.3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</row>
    <row r="22" spans="1:11" x14ac:dyDescent="0.3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</row>
    <row r="23" spans="1:11" x14ac:dyDescent="0.3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</row>
    <row r="24" spans="1:11" x14ac:dyDescent="0.3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</row>
    <row r="25" spans="1:11" x14ac:dyDescent="0.3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</row>
    <row r="26" spans="1:11" x14ac:dyDescent="0.3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</row>
    <row r="27" spans="1:11" x14ac:dyDescent="0.3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</row>
    <row r="28" spans="1:11" x14ac:dyDescent="0.3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</row>
    <row r="29" spans="1:11" x14ac:dyDescent="0.3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</row>
    <row r="30" spans="1:11" x14ac:dyDescent="0.3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</row>
    <row r="31" spans="1:11" x14ac:dyDescent="0.3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</row>
    <row r="32" spans="1:11" x14ac:dyDescent="0.3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</row>
    <row r="33" spans="1:11" x14ac:dyDescent="0.3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</row>
    <row r="34" spans="1:11" x14ac:dyDescent="0.3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</row>
    <row r="35" spans="1:11" x14ac:dyDescent="0.3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</row>
    <row r="36" spans="1:11" x14ac:dyDescent="0.3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</row>
    <row r="37" spans="1:11" x14ac:dyDescent="0.3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</row>
    <row r="38" spans="1:11" x14ac:dyDescent="0.3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</row>
    <row r="39" spans="1:11" x14ac:dyDescent="0.3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</row>
    <row r="40" spans="1:11" x14ac:dyDescent="0.3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</row>
    <row r="41" spans="1:11" x14ac:dyDescent="0.3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</row>
    <row r="42" spans="1:11" x14ac:dyDescent="0.3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</row>
    <row r="43" spans="1:11" x14ac:dyDescent="0.3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</row>
    <row r="44" spans="1:11" x14ac:dyDescent="0.3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</row>
    <row r="45" spans="1:11" x14ac:dyDescent="0.3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</row>
    <row r="46" spans="1:11" x14ac:dyDescent="0.3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</row>
    <row r="47" spans="1:11" x14ac:dyDescent="0.3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</row>
    <row r="48" spans="1:11" x14ac:dyDescent="0.3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</row>
    <row r="49" spans="1:11" x14ac:dyDescent="0.3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</row>
    <row r="50" spans="1:11" x14ac:dyDescent="0.3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</row>
    <row r="51" spans="1:11" x14ac:dyDescent="0.3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</row>
    <row r="52" spans="1:11" x14ac:dyDescent="0.3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</row>
    <row r="53" spans="1:11" x14ac:dyDescent="0.3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</row>
    <row r="54" spans="1:11" x14ac:dyDescent="0.3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</row>
    <row r="55" spans="1:11" x14ac:dyDescent="0.3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</row>
    <row r="56" spans="1:11" x14ac:dyDescent="0.3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</row>
    <row r="57" spans="1:11" x14ac:dyDescent="0.3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</row>
    <row r="58" spans="1:11" x14ac:dyDescent="0.3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</row>
    <row r="59" spans="1:11" x14ac:dyDescent="0.3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</row>
    <row r="60" spans="1:11" x14ac:dyDescent="0.3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</row>
    <row r="61" spans="1:11" x14ac:dyDescent="0.3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</row>
    <row r="62" spans="1:11" x14ac:dyDescent="0.3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</row>
    <row r="63" spans="1:11" x14ac:dyDescent="0.3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</row>
    <row r="64" spans="1:11" x14ac:dyDescent="0.3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</row>
    <row r="65" spans="1:11" x14ac:dyDescent="0.3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</row>
    <row r="66" spans="1:11" x14ac:dyDescent="0.3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</row>
    <row r="67" spans="1:11" x14ac:dyDescent="0.3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</row>
    <row r="68" spans="1:11" x14ac:dyDescent="0.3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</row>
    <row r="69" spans="1:11" x14ac:dyDescent="0.3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</row>
    <row r="70" spans="1:11" x14ac:dyDescent="0.3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</row>
    <row r="71" spans="1:11" x14ac:dyDescent="0.3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</row>
    <row r="72" spans="1:11" x14ac:dyDescent="0.3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</row>
    <row r="73" spans="1:11" x14ac:dyDescent="0.3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</row>
    <row r="74" spans="1:11" x14ac:dyDescent="0.3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</row>
    <row r="75" spans="1:11" x14ac:dyDescent="0.3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</row>
    <row r="76" spans="1:11" x14ac:dyDescent="0.3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</row>
    <row r="77" spans="1:11" x14ac:dyDescent="0.3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</row>
    <row r="78" spans="1:11" x14ac:dyDescent="0.3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</row>
    <row r="79" spans="1:11" x14ac:dyDescent="0.3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</row>
    <row r="80" spans="1:11" x14ac:dyDescent="0.3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K80"/>
  <sheetViews>
    <sheetView workbookViewId="0"/>
  </sheetViews>
  <sheetFormatPr defaultRowHeight="14.5" x14ac:dyDescent="0.35"/>
  <cols>
    <col min="1" max="1" width="32.26953125" bestFit="1" customWidth="1"/>
    <col min="2" max="9" width="18" customWidth="1"/>
  </cols>
  <sheetData>
    <row r="1" spans="1:11" ht="16" customHeight="1" x14ac:dyDescent="0.4">
      <c r="A1" s="4" t="s">
        <v>196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 x14ac:dyDescent="0.35">
      <c r="A2" s="1"/>
      <c r="B2" s="1"/>
      <c r="C2" s="1"/>
      <c r="D2" s="1"/>
      <c r="E2" s="1"/>
      <c r="F2" s="1"/>
      <c r="G2" s="1"/>
      <c r="H2" s="1"/>
      <c r="I2" s="1"/>
      <c r="J2" s="1"/>
      <c r="K2" s="1"/>
    </row>
    <row r="3" spans="1:11" x14ac:dyDescent="0.35">
      <c r="A3" s="5" t="s">
        <v>197</v>
      </c>
      <c r="B3" s="5" t="s">
        <v>18</v>
      </c>
      <c r="C3" s="1"/>
      <c r="D3" s="5" t="s">
        <v>198</v>
      </c>
      <c r="E3" s="5" t="s">
        <v>199</v>
      </c>
      <c r="F3" s="5" t="s">
        <v>200</v>
      </c>
      <c r="G3" s="5" t="s">
        <v>201</v>
      </c>
      <c r="H3" s="5" t="s">
        <v>202</v>
      </c>
      <c r="I3" s="1"/>
      <c r="J3" s="1"/>
      <c r="K3" s="1"/>
    </row>
    <row r="4" spans="1:11" x14ac:dyDescent="0.35">
      <c r="A4" s="1" t="s">
        <v>203</v>
      </c>
      <c r="B4" s="3">
        <f>'1 Inputs'!B14</f>
        <v>3000</v>
      </c>
      <c r="C4" s="1"/>
      <c r="D4" s="1" t="s">
        <v>74</v>
      </c>
      <c r="E4" s="3">
        <f>'3 Forecast'!C11</f>
        <v>4194.2047139999995</v>
      </c>
      <c r="F4" s="3">
        <f>'3 Forecast'!C11</f>
        <v>4194.2047139999995</v>
      </c>
      <c r="G4" s="3">
        <f>'3 Forecast'!C11-B5*'1 Inputs'!B11*(1-'1 Inputs'!B12)</f>
        <v>4194.1838452499996</v>
      </c>
      <c r="H4" s="3">
        <f>'3 Forecast'!C11-250*(1-'1 Inputs'!B12)</f>
        <v>3995.4547139999995</v>
      </c>
      <c r="I4" s="1"/>
      <c r="J4" s="1"/>
      <c r="K4" s="1"/>
    </row>
    <row r="5" spans="1:11" x14ac:dyDescent="0.35">
      <c r="A5" s="1" t="s">
        <v>204</v>
      </c>
      <c r="B5" s="9">
        <v>0.5</v>
      </c>
      <c r="C5" s="1"/>
      <c r="D5" s="1" t="s">
        <v>23</v>
      </c>
      <c r="E5" s="3">
        <f>'3 Forecast'!B12</f>
        <v>968</v>
      </c>
      <c r="F5" s="3">
        <f>'3 Forecast'!C12</f>
        <v>860.99090422685924</v>
      </c>
      <c r="G5" s="3">
        <f>'3 Forecast'!B12</f>
        <v>968</v>
      </c>
      <c r="H5" s="3">
        <f>'3 Forecast'!B12</f>
        <v>968</v>
      </c>
      <c r="I5" s="1"/>
      <c r="J5" s="1"/>
      <c r="K5" s="1"/>
    </row>
    <row r="6" spans="1:11" x14ac:dyDescent="0.35">
      <c r="A6" s="1" t="s">
        <v>205</v>
      </c>
      <c r="B6" s="9">
        <v>0.5</v>
      </c>
      <c r="C6" s="1"/>
      <c r="D6" s="1" t="s">
        <v>206</v>
      </c>
      <c r="E6" s="3">
        <f>E4/E5</f>
        <v>4.3328561095041316</v>
      </c>
      <c r="F6" s="3">
        <f>F4/F5</f>
        <v>4.8713693645419562</v>
      </c>
      <c r="G6" s="3">
        <f>G4/G5</f>
        <v>4.3328345508780988</v>
      </c>
      <c r="H6" s="3">
        <f>H4/H5</f>
        <v>4.1275358615702471</v>
      </c>
      <c r="I6" s="1"/>
      <c r="J6" s="1"/>
      <c r="K6" s="1"/>
    </row>
    <row r="7" spans="1:11" x14ac:dyDescent="0.35">
      <c r="A7" s="1" t="s">
        <v>43</v>
      </c>
      <c r="B7" s="3">
        <f>'1 Inputs'!B15</f>
        <v>800</v>
      </c>
      <c r="C7" s="1"/>
      <c r="D7" s="1" t="s">
        <v>207</v>
      </c>
      <c r="E7" s="1"/>
      <c r="F7" s="9">
        <f>F6/E6-1</f>
        <v>0.12428597706178013</v>
      </c>
      <c r="G7" s="9">
        <f>G6/E6-1</f>
        <v>-4.9756155034996752E-6</v>
      </c>
      <c r="H7" s="9">
        <f>H6/E6-1</f>
        <v>-4.7386814319431037E-2</v>
      </c>
      <c r="I7" s="1"/>
      <c r="J7" s="1"/>
      <c r="K7" s="1"/>
    </row>
    <row r="8" spans="1:11" ht="26" x14ac:dyDescent="0.35">
      <c r="A8" s="1" t="s">
        <v>208</v>
      </c>
      <c r="B8" s="3">
        <f>B7*'1 Inputs'!B16</f>
        <v>200</v>
      </c>
      <c r="C8" s="1"/>
      <c r="D8" s="1" t="s">
        <v>209</v>
      </c>
      <c r="E8" s="1" t="s">
        <v>210</v>
      </c>
      <c r="F8" s="1" t="s">
        <v>211</v>
      </c>
      <c r="G8" s="1" t="s">
        <v>212</v>
      </c>
      <c r="H8" s="1" t="s">
        <v>213</v>
      </c>
      <c r="I8" s="1"/>
      <c r="J8" s="1"/>
      <c r="K8" s="1"/>
    </row>
    <row r="9" spans="1:11" x14ac:dyDescent="0.35">
      <c r="A9" s="1" t="s">
        <v>46</v>
      </c>
      <c r="B9" s="3">
        <f>'1 Inputs'!B17</f>
        <v>75</v>
      </c>
      <c r="C9" s="1"/>
      <c r="D9" s="1"/>
      <c r="E9" s="1"/>
      <c r="F9" s="1"/>
      <c r="G9" s="1"/>
      <c r="H9" s="1"/>
      <c r="I9" s="1"/>
      <c r="J9" s="1"/>
      <c r="K9" s="1"/>
    </row>
    <row r="10" spans="1:11" x14ac:dyDescent="0.35">
      <c r="A10" s="1" t="s">
        <v>214</v>
      </c>
      <c r="B10" s="3">
        <v>60</v>
      </c>
      <c r="C10" s="1"/>
      <c r="D10" s="1"/>
      <c r="E10" s="1"/>
      <c r="F10" s="1"/>
      <c r="G10" s="1"/>
      <c r="H10" s="1"/>
      <c r="I10" s="1"/>
      <c r="J10" s="1"/>
      <c r="K10" s="1"/>
    </row>
    <row r="11" spans="1:11" x14ac:dyDescent="0.35">
      <c r="A11" s="1" t="s">
        <v>87</v>
      </c>
      <c r="B11" s="3">
        <f>B4*B6*'1 Inputs'!B11</f>
        <v>78.75</v>
      </c>
      <c r="C11" s="1"/>
      <c r="D11" s="1"/>
      <c r="E11" s="1"/>
      <c r="F11" s="1"/>
      <c r="G11" s="1"/>
      <c r="H11" s="1"/>
      <c r="I11" s="1"/>
      <c r="J11" s="1"/>
      <c r="K11" s="1"/>
    </row>
    <row r="12" spans="1:11" x14ac:dyDescent="0.35">
      <c r="A12" s="1" t="s">
        <v>215</v>
      </c>
      <c r="B12" s="3">
        <f>B8+B9-B10</f>
        <v>215</v>
      </c>
      <c r="C12" s="1"/>
      <c r="D12" s="1"/>
      <c r="E12" s="1"/>
      <c r="F12" s="1"/>
      <c r="G12" s="1"/>
      <c r="H12" s="1"/>
      <c r="I12" s="1"/>
      <c r="J12" s="1"/>
      <c r="K12" s="1"/>
    </row>
    <row r="13" spans="1:11" x14ac:dyDescent="0.35">
      <c r="A13" s="1" t="s">
        <v>89</v>
      </c>
      <c r="B13" s="3">
        <f>-B11*'1 Inputs'!B12</f>
        <v>-16.143750000000001</v>
      </c>
      <c r="C13" s="1"/>
      <c r="D13" s="1"/>
      <c r="E13" s="1"/>
      <c r="F13" s="1"/>
      <c r="G13" s="1"/>
      <c r="H13" s="1"/>
      <c r="I13" s="1"/>
      <c r="J13" s="1"/>
      <c r="K13" s="1"/>
    </row>
    <row r="14" spans="1:11" x14ac:dyDescent="0.35">
      <c r="A14" s="1" t="s">
        <v>216</v>
      </c>
      <c r="B14" s="3">
        <f>B11+B12</f>
        <v>293.75</v>
      </c>
      <c r="C14" s="1"/>
      <c r="D14" s="1"/>
      <c r="E14" s="1"/>
      <c r="F14" s="1"/>
      <c r="G14" s="1"/>
      <c r="H14" s="1"/>
      <c r="I14" s="1"/>
      <c r="J14" s="1"/>
      <c r="K14" s="1"/>
    </row>
    <row r="15" spans="1:11" x14ac:dyDescent="0.35">
      <c r="A15" s="1" t="s">
        <v>217</v>
      </c>
      <c r="B15" s="3">
        <f>'3 Forecast'!C11</f>
        <v>4194.2047139999995</v>
      </c>
      <c r="C15" s="1"/>
      <c r="D15" s="1"/>
      <c r="E15" s="1"/>
      <c r="F15" s="1"/>
      <c r="G15" s="1"/>
      <c r="H15" s="1"/>
      <c r="I15" s="1"/>
      <c r="J15" s="1"/>
      <c r="K15" s="1"/>
    </row>
    <row r="16" spans="1:11" x14ac:dyDescent="0.35">
      <c r="A16" s="1" t="s">
        <v>218</v>
      </c>
      <c r="B16" s="9">
        <f>B13+B14</f>
        <v>277.60624999999999</v>
      </c>
      <c r="C16" s="1"/>
      <c r="D16" s="1"/>
      <c r="E16" s="1"/>
      <c r="F16" s="1"/>
      <c r="G16" s="1"/>
      <c r="H16" s="1"/>
      <c r="I16" s="1"/>
      <c r="J16" s="1"/>
      <c r="K16" s="1"/>
    </row>
    <row r="17" spans="1:11" x14ac:dyDescent="0.35">
      <c r="A17" s="1" t="s">
        <v>219</v>
      </c>
      <c r="B17" s="1">
        <f>(B15/'3 Forecast'!C12)/'3 Forecast'!C13-1</f>
        <v>0</v>
      </c>
      <c r="C17" s="1"/>
      <c r="D17" s="1"/>
      <c r="E17" s="1"/>
      <c r="F17" s="1"/>
      <c r="G17" s="1"/>
      <c r="H17" s="1"/>
      <c r="I17" s="1"/>
      <c r="J17" s="1"/>
      <c r="K17" s="1"/>
    </row>
    <row r="18" spans="1:11" x14ac:dyDescent="0.35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</row>
    <row r="19" spans="1:11" x14ac:dyDescent="0.3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</row>
    <row r="20" spans="1:11" x14ac:dyDescent="0.3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</row>
    <row r="21" spans="1:11" x14ac:dyDescent="0.3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</row>
    <row r="22" spans="1:11" x14ac:dyDescent="0.3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</row>
    <row r="23" spans="1:11" x14ac:dyDescent="0.3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</row>
    <row r="24" spans="1:11" x14ac:dyDescent="0.3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</row>
    <row r="25" spans="1:11" x14ac:dyDescent="0.3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</row>
    <row r="26" spans="1:11" x14ac:dyDescent="0.3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</row>
    <row r="27" spans="1:11" x14ac:dyDescent="0.3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</row>
    <row r="28" spans="1:11" x14ac:dyDescent="0.3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</row>
    <row r="29" spans="1:11" x14ac:dyDescent="0.3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</row>
    <row r="30" spans="1:11" x14ac:dyDescent="0.3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</row>
    <row r="31" spans="1:11" x14ac:dyDescent="0.3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</row>
    <row r="32" spans="1:11" x14ac:dyDescent="0.3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</row>
    <row r="33" spans="1:11" x14ac:dyDescent="0.3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</row>
    <row r="34" spans="1:11" x14ac:dyDescent="0.3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</row>
    <row r="35" spans="1:11" x14ac:dyDescent="0.3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</row>
    <row r="36" spans="1:11" x14ac:dyDescent="0.3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</row>
    <row r="37" spans="1:11" x14ac:dyDescent="0.3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</row>
    <row r="38" spans="1:11" x14ac:dyDescent="0.3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</row>
    <row r="39" spans="1:11" x14ac:dyDescent="0.3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</row>
    <row r="40" spans="1:11" x14ac:dyDescent="0.3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</row>
    <row r="41" spans="1:11" x14ac:dyDescent="0.3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</row>
    <row r="42" spans="1:11" x14ac:dyDescent="0.3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</row>
    <row r="43" spans="1:11" x14ac:dyDescent="0.3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</row>
    <row r="44" spans="1:11" x14ac:dyDescent="0.3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</row>
    <row r="45" spans="1:11" x14ac:dyDescent="0.3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</row>
    <row r="46" spans="1:11" x14ac:dyDescent="0.3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</row>
    <row r="47" spans="1:11" x14ac:dyDescent="0.3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</row>
    <row r="48" spans="1:11" x14ac:dyDescent="0.3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</row>
    <row r="49" spans="1:11" x14ac:dyDescent="0.3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</row>
    <row r="50" spans="1:11" x14ac:dyDescent="0.3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</row>
    <row r="51" spans="1:11" x14ac:dyDescent="0.3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</row>
    <row r="52" spans="1:11" x14ac:dyDescent="0.3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</row>
    <row r="53" spans="1:11" x14ac:dyDescent="0.3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</row>
    <row r="54" spans="1:11" x14ac:dyDescent="0.3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</row>
    <row r="55" spans="1:11" x14ac:dyDescent="0.3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</row>
    <row r="56" spans="1:11" x14ac:dyDescent="0.3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</row>
    <row r="57" spans="1:11" x14ac:dyDescent="0.3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</row>
    <row r="58" spans="1:11" x14ac:dyDescent="0.3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</row>
    <row r="59" spans="1:11" x14ac:dyDescent="0.3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</row>
    <row r="60" spans="1:11" x14ac:dyDescent="0.3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</row>
    <row r="61" spans="1:11" x14ac:dyDescent="0.3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</row>
    <row r="62" spans="1:11" x14ac:dyDescent="0.3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</row>
    <row r="63" spans="1:11" x14ac:dyDescent="0.3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</row>
    <row r="64" spans="1:11" x14ac:dyDescent="0.3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</row>
    <row r="65" spans="1:11" x14ac:dyDescent="0.3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</row>
    <row r="66" spans="1:11" x14ac:dyDescent="0.3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</row>
    <row r="67" spans="1:11" x14ac:dyDescent="0.3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</row>
    <row r="68" spans="1:11" x14ac:dyDescent="0.3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</row>
    <row r="69" spans="1:11" x14ac:dyDescent="0.3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</row>
    <row r="70" spans="1:11" x14ac:dyDescent="0.3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</row>
    <row r="71" spans="1:11" x14ac:dyDescent="0.3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</row>
    <row r="72" spans="1:11" x14ac:dyDescent="0.3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</row>
    <row r="73" spans="1:11" x14ac:dyDescent="0.3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</row>
    <row r="74" spans="1:11" x14ac:dyDescent="0.3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</row>
    <row r="75" spans="1:11" x14ac:dyDescent="0.3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</row>
    <row r="76" spans="1:11" x14ac:dyDescent="0.3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</row>
    <row r="77" spans="1:11" x14ac:dyDescent="0.3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</row>
    <row r="78" spans="1:11" x14ac:dyDescent="0.3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</row>
    <row r="79" spans="1:11" x14ac:dyDescent="0.3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</row>
    <row r="80" spans="1:11" x14ac:dyDescent="0.3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K80"/>
  <sheetViews>
    <sheetView workbookViewId="0">
      <selection activeCell="E6" sqref="E6"/>
    </sheetView>
  </sheetViews>
  <sheetFormatPr defaultRowHeight="14.5" x14ac:dyDescent="0.35"/>
  <cols>
    <col min="1" max="1" width="40.1796875" bestFit="1" customWidth="1"/>
    <col min="2" max="9" width="18" customWidth="1"/>
  </cols>
  <sheetData>
    <row r="1" spans="1:11" ht="16" customHeight="1" x14ac:dyDescent="0.4">
      <c r="A1" s="4" t="s">
        <v>220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 x14ac:dyDescent="0.35">
      <c r="A2" s="1"/>
      <c r="B2" s="1"/>
      <c r="C2" s="1"/>
      <c r="D2" s="1"/>
      <c r="E2" s="1"/>
      <c r="F2" s="1"/>
      <c r="G2" s="1"/>
      <c r="H2" s="1"/>
      <c r="I2" s="1"/>
      <c r="J2" s="1"/>
      <c r="K2" s="1"/>
    </row>
    <row r="3" spans="1:11" x14ac:dyDescent="0.35">
      <c r="A3" s="5" t="s">
        <v>221</v>
      </c>
      <c r="B3" s="5" t="s">
        <v>222</v>
      </c>
      <c r="C3" s="5" t="s">
        <v>223</v>
      </c>
      <c r="D3" s="5" t="s">
        <v>224</v>
      </c>
      <c r="E3" s="5" t="s">
        <v>225</v>
      </c>
      <c r="F3" s="5" t="s">
        <v>226</v>
      </c>
      <c r="G3" s="1"/>
      <c r="H3" s="1"/>
      <c r="I3" s="1"/>
      <c r="J3" s="1"/>
      <c r="K3" s="1"/>
    </row>
    <row r="4" spans="1:11" x14ac:dyDescent="0.35">
      <c r="A4" s="9">
        <v>0.02</v>
      </c>
      <c r="B4" s="3">
        <f>('2 Historical FS'!F4*(1+A4)^5*0.16*(1-'1 Inputs'!$B$12))/800</f>
        <v>5.8233063761963137</v>
      </c>
      <c r="C4" s="3">
        <f>('2 Historical FS'!F4*(1+A4)^5*0.18*(1-'1 Inputs'!$B$12))/800</f>
        <v>6.551219673220853</v>
      </c>
      <c r="D4" s="3">
        <f>('2 Historical FS'!F4*(1+A4)^5*0.2*(1-'1 Inputs'!$B$12))/800</f>
        <v>7.279132970245394</v>
      </c>
      <c r="E4" s="3">
        <f>('2 Historical FS'!F4*(1+A4)^5*0.22*(1-'1 Inputs'!$B$12))/800</f>
        <v>8.0070462672699314</v>
      </c>
      <c r="F4" s="3">
        <f>('2 Historical FS'!F4*(1+A4)^5*0.24*(1-'1 Inputs'!$B$12))/800</f>
        <v>8.7349595642944724</v>
      </c>
      <c r="G4" s="1"/>
      <c r="H4" s="1"/>
      <c r="I4" s="1"/>
      <c r="J4" s="1"/>
      <c r="K4" s="1"/>
    </row>
    <row r="5" spans="1:11" x14ac:dyDescent="0.35">
      <c r="A5" s="9">
        <v>0.04</v>
      </c>
      <c r="B5" s="3">
        <f>('2 Historical FS'!F4*(1+A5)^5*0.16*(1-'1 Inputs'!$B$12))/800</f>
        <v>6.4170508024676369</v>
      </c>
      <c r="C5" s="3">
        <f>('2 Historical FS'!F4*(1+A5)^5*0.18*(1-'1 Inputs'!$B$12))/800</f>
        <v>7.2191821527760904</v>
      </c>
      <c r="D5" s="3">
        <f>('2 Historical FS'!F4*(1+A5)^5*0.2*(1-'1 Inputs'!$B$12))/800</f>
        <v>8.0213135030845475</v>
      </c>
      <c r="E5" s="3">
        <f>('2 Historical FS'!F4*(1+A5)^5*0.22*(1-'1 Inputs'!$B$12))/800</f>
        <v>8.823444853393001</v>
      </c>
      <c r="F5" s="3">
        <f>('2 Historical FS'!F4*(1+A5)^5*0.24*(1-'1 Inputs'!$B$12))/800</f>
        <v>9.6255762037014545</v>
      </c>
      <c r="G5" s="1"/>
      <c r="H5" s="1"/>
      <c r="I5" s="1"/>
      <c r="J5" s="1"/>
      <c r="K5" s="1"/>
    </row>
    <row r="6" spans="1:11" x14ac:dyDescent="0.35">
      <c r="A6" s="9">
        <v>0.06</v>
      </c>
      <c r="B6" s="3">
        <f>('2 Historical FS'!F4*(1+A6)^5*0.16*(1-'1 Inputs'!$B$12))/800</f>
        <v>7.0582673987634088</v>
      </c>
      <c r="C6" s="3">
        <f>('2 Historical FS'!F4*(1+A6)^5*0.18*(1-'1 Inputs'!$B$12))/800</f>
        <v>7.9405508236088336</v>
      </c>
      <c r="D6" s="3">
        <f>('2 Historical FS'!F4*(1+A6)^5*0.2*(1-'1 Inputs'!$B$12))/800</f>
        <v>8.8228342484542601</v>
      </c>
      <c r="E6" s="3">
        <f>('2 Historical FS'!F4*(1+A6)^5*0.22*(1-'1 Inputs'!$B$12))/800</f>
        <v>9.7051176732996858</v>
      </c>
      <c r="F6" s="3">
        <f>('2 Historical FS'!F4*(1+A6)^5*0.24*(1-'1 Inputs'!$B$12))/800</f>
        <v>10.587401098145113</v>
      </c>
      <c r="G6" s="1"/>
      <c r="H6" s="1"/>
      <c r="I6" s="1"/>
      <c r="J6" s="1"/>
      <c r="K6" s="1"/>
    </row>
    <row r="7" spans="1:11" x14ac:dyDescent="0.35">
      <c r="A7" s="9">
        <v>0.08</v>
      </c>
      <c r="B7" s="3">
        <f>('2 Historical FS'!F4*(1+A7)^5*0.16*(1-'1 Inputs'!$B$12))/800</f>
        <v>7.7497476032139287</v>
      </c>
      <c r="C7" s="3">
        <f>('2 Historical FS'!F4*(1+A7)^5*0.18*(1-'1 Inputs'!$B$12))/800</f>
        <v>8.7184660536156695</v>
      </c>
      <c r="D7" s="3">
        <f>('2 Historical FS'!F4*(1+A7)^5*0.2*(1-'1 Inputs'!$B$12))/800</f>
        <v>9.6871845040174112</v>
      </c>
      <c r="E7" s="3">
        <f>('2 Historical FS'!F4*(1+A7)^5*0.22*(1-'1 Inputs'!$B$12))/800</f>
        <v>10.655902954419153</v>
      </c>
      <c r="F7" s="3">
        <f>('2 Historical FS'!F4*(1+A7)^5*0.24*(1-'1 Inputs'!$B$12))/800</f>
        <v>11.624621404820891</v>
      </c>
      <c r="G7" s="1"/>
      <c r="H7" s="1"/>
      <c r="I7" s="1"/>
      <c r="J7" s="1"/>
      <c r="K7" s="1"/>
    </row>
    <row r="8" spans="1:11" x14ac:dyDescent="0.35">
      <c r="A8" s="9">
        <v>0.1</v>
      </c>
      <c r="B8" s="3">
        <f>('2 Historical FS'!F4*(1+A8)^5*0.16*(1-'1 Inputs'!$B$12))/800</f>
        <v>8.4943901974800031</v>
      </c>
      <c r="C8" s="3">
        <f>('2 Historical FS'!F4*(1+A8)^5*0.18*(1-'1 Inputs'!$B$12))/800</f>
        <v>9.5561889721650033</v>
      </c>
      <c r="D8" s="3">
        <f>('2 Historical FS'!F4*(1+A8)^5*0.2*(1-'1 Inputs'!$B$12))/800</f>
        <v>10.617987746850003</v>
      </c>
      <c r="E8" s="3">
        <f>('2 Historical FS'!F4*(1+A8)^5*0.22*(1-'1 Inputs'!$B$12))/800</f>
        <v>11.679786521535004</v>
      </c>
      <c r="F8" s="3">
        <f>('2 Historical FS'!F4*(1+A8)^5*0.24*(1-'1 Inputs'!$B$12))/800</f>
        <v>12.741585296220002</v>
      </c>
      <c r="G8" s="1"/>
      <c r="H8" s="1"/>
      <c r="I8" s="1"/>
      <c r="J8" s="1"/>
      <c r="K8" s="1"/>
    </row>
    <row r="9" spans="1:11" x14ac:dyDescent="0.35">
      <c r="A9" s="1"/>
      <c r="B9" s="1"/>
      <c r="C9" s="1"/>
      <c r="D9" s="1"/>
      <c r="E9" s="1"/>
      <c r="F9" s="1"/>
      <c r="G9" s="1"/>
      <c r="H9" s="1"/>
      <c r="I9" s="1"/>
      <c r="J9" s="1"/>
      <c r="K9" s="1"/>
    </row>
    <row r="10" spans="1:11" x14ac:dyDescent="0.35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</row>
    <row r="11" spans="1:11" x14ac:dyDescent="0.35">
      <c r="A11" s="5" t="s">
        <v>227</v>
      </c>
      <c r="B11" s="5" t="s">
        <v>228</v>
      </c>
      <c r="C11" s="5" t="s">
        <v>185</v>
      </c>
      <c r="D11" s="5" t="s">
        <v>229</v>
      </c>
      <c r="E11" s="5" t="s">
        <v>230</v>
      </c>
      <c r="F11" s="1"/>
      <c r="G11" s="1"/>
      <c r="H11" s="1"/>
      <c r="I11" s="1"/>
      <c r="J11" s="1"/>
      <c r="K11" s="1"/>
    </row>
    <row r="12" spans="1:11" x14ac:dyDescent="0.35">
      <c r="A12" s="1" t="s">
        <v>231</v>
      </c>
      <c r="B12" s="1">
        <v>4</v>
      </c>
      <c r="C12" s="1">
        <v>2</v>
      </c>
      <c r="D12" s="1">
        <v>3</v>
      </c>
      <c r="E12" s="1">
        <v>4</v>
      </c>
      <c r="F12" s="1"/>
      <c r="G12" s="1"/>
      <c r="H12" s="1"/>
      <c r="I12" s="1"/>
      <c r="J12" s="1"/>
      <c r="K12" s="1"/>
    </row>
    <row r="13" spans="1:11" x14ac:dyDescent="0.35">
      <c r="A13" s="1" t="s">
        <v>232</v>
      </c>
      <c r="B13" s="1">
        <v>2</v>
      </c>
      <c r="C13" s="1">
        <v>1</v>
      </c>
      <c r="D13" s="1">
        <v>4</v>
      </c>
      <c r="E13" s="1">
        <v>5</v>
      </c>
      <c r="F13" s="1"/>
      <c r="G13" s="1"/>
      <c r="H13" s="1"/>
      <c r="I13" s="1"/>
      <c r="J13" s="1"/>
      <c r="K13" s="1"/>
    </row>
    <row r="14" spans="1:11" x14ac:dyDescent="0.35">
      <c r="A14" s="1" t="s">
        <v>233</v>
      </c>
      <c r="B14" s="1">
        <v>1</v>
      </c>
      <c r="C14" s="1">
        <v>1</v>
      </c>
      <c r="D14" s="1">
        <v>5</v>
      </c>
      <c r="E14" s="1">
        <v>3</v>
      </c>
      <c r="F14" s="1"/>
      <c r="G14" s="1"/>
      <c r="H14" s="1"/>
      <c r="I14" s="1"/>
      <c r="J14" s="1"/>
      <c r="K14" s="1"/>
    </row>
    <row r="15" spans="1:11" x14ac:dyDescent="0.35">
      <c r="A15" s="1" t="s">
        <v>234</v>
      </c>
      <c r="B15" s="1">
        <v>2</v>
      </c>
      <c r="C15" s="1">
        <v>1</v>
      </c>
      <c r="D15" s="1">
        <v>4</v>
      </c>
      <c r="E15" s="1">
        <v>2</v>
      </c>
      <c r="F15" s="1"/>
      <c r="G15" s="1"/>
      <c r="H15" s="1"/>
      <c r="I15" s="1"/>
      <c r="J15" s="1"/>
      <c r="K15" s="1"/>
    </row>
    <row r="16" spans="1:11" x14ac:dyDescent="0.35">
      <c r="A16" s="1" t="s">
        <v>235</v>
      </c>
      <c r="B16" s="1">
        <v>2</v>
      </c>
      <c r="C16" s="1">
        <v>1</v>
      </c>
      <c r="D16" s="1">
        <v>3</v>
      </c>
      <c r="E16" s="1">
        <v>5</v>
      </c>
      <c r="F16" s="1"/>
      <c r="G16" s="1"/>
      <c r="H16" s="1"/>
      <c r="I16" s="1"/>
      <c r="J16" s="1"/>
      <c r="K16" s="1"/>
    </row>
    <row r="17" spans="1:11" x14ac:dyDescent="0.35">
      <c r="A17" s="1" t="s">
        <v>236</v>
      </c>
      <c r="B17" s="1">
        <f>B12*25%+B13*25%-B14*20%-B15*15%+B16*15%</f>
        <v>1.3</v>
      </c>
      <c r="C17" s="1">
        <f>C12*25%+C13*25%-C14*20%-C15*15%+C16*15%</f>
        <v>0.55000000000000004</v>
      </c>
      <c r="D17" s="1">
        <f>D12*25%+D13*25%-D14*20%-D15*15%+D16*15%</f>
        <v>0.6</v>
      </c>
      <c r="E17" s="1">
        <f>E12*25%+E13*25%-E14*20%-E15*15%+E16*15%</f>
        <v>2.0999999999999996</v>
      </c>
      <c r="F17" s="1"/>
      <c r="G17" s="1"/>
      <c r="H17" s="1"/>
      <c r="I17" s="1"/>
      <c r="J17" s="1"/>
      <c r="K17" s="1"/>
    </row>
    <row r="18" spans="1:11" x14ac:dyDescent="0.35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</row>
    <row r="19" spans="1:11" x14ac:dyDescent="0.3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</row>
    <row r="20" spans="1:11" x14ac:dyDescent="0.3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</row>
    <row r="21" spans="1:11" x14ac:dyDescent="0.3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</row>
    <row r="22" spans="1:11" x14ac:dyDescent="0.3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</row>
    <row r="23" spans="1:11" x14ac:dyDescent="0.3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</row>
    <row r="24" spans="1:11" x14ac:dyDescent="0.3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</row>
    <row r="25" spans="1:11" x14ac:dyDescent="0.3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</row>
    <row r="26" spans="1:11" x14ac:dyDescent="0.3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</row>
    <row r="27" spans="1:11" x14ac:dyDescent="0.3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</row>
    <row r="28" spans="1:11" x14ac:dyDescent="0.3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</row>
    <row r="29" spans="1:11" x14ac:dyDescent="0.3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</row>
    <row r="30" spans="1:11" x14ac:dyDescent="0.3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</row>
    <row r="31" spans="1:11" x14ac:dyDescent="0.3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</row>
    <row r="32" spans="1:11" x14ac:dyDescent="0.3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</row>
    <row r="33" spans="1:11" x14ac:dyDescent="0.3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</row>
    <row r="34" spans="1:11" x14ac:dyDescent="0.3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</row>
    <row r="35" spans="1:11" x14ac:dyDescent="0.3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</row>
    <row r="36" spans="1:11" x14ac:dyDescent="0.3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</row>
    <row r="37" spans="1:11" x14ac:dyDescent="0.3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</row>
    <row r="38" spans="1:11" x14ac:dyDescent="0.3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</row>
    <row r="39" spans="1:11" x14ac:dyDescent="0.3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</row>
    <row r="40" spans="1:11" x14ac:dyDescent="0.3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</row>
    <row r="41" spans="1:11" x14ac:dyDescent="0.3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</row>
    <row r="42" spans="1:11" x14ac:dyDescent="0.3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</row>
    <row r="43" spans="1:11" x14ac:dyDescent="0.3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</row>
    <row r="44" spans="1:11" x14ac:dyDescent="0.3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</row>
    <row r="45" spans="1:11" x14ac:dyDescent="0.3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</row>
    <row r="46" spans="1:11" x14ac:dyDescent="0.3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</row>
    <row r="47" spans="1:11" x14ac:dyDescent="0.3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</row>
    <row r="48" spans="1:11" x14ac:dyDescent="0.3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</row>
    <row r="49" spans="1:11" x14ac:dyDescent="0.3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</row>
    <row r="50" spans="1:11" x14ac:dyDescent="0.3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</row>
    <row r="51" spans="1:11" x14ac:dyDescent="0.3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</row>
    <row r="52" spans="1:11" x14ac:dyDescent="0.3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</row>
    <row r="53" spans="1:11" x14ac:dyDescent="0.3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</row>
    <row r="54" spans="1:11" x14ac:dyDescent="0.3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</row>
    <row r="55" spans="1:11" x14ac:dyDescent="0.3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</row>
    <row r="56" spans="1:11" x14ac:dyDescent="0.3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</row>
    <row r="57" spans="1:11" x14ac:dyDescent="0.3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</row>
    <row r="58" spans="1:11" x14ac:dyDescent="0.3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</row>
    <row r="59" spans="1:11" x14ac:dyDescent="0.3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</row>
    <row r="60" spans="1:11" x14ac:dyDescent="0.3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</row>
    <row r="61" spans="1:11" x14ac:dyDescent="0.3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</row>
    <row r="62" spans="1:11" x14ac:dyDescent="0.3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</row>
    <row r="63" spans="1:11" x14ac:dyDescent="0.3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</row>
    <row r="64" spans="1:11" x14ac:dyDescent="0.3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</row>
    <row r="65" spans="1:11" x14ac:dyDescent="0.3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</row>
    <row r="66" spans="1:11" x14ac:dyDescent="0.3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</row>
    <row r="67" spans="1:11" x14ac:dyDescent="0.3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</row>
    <row r="68" spans="1:11" x14ac:dyDescent="0.3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</row>
    <row r="69" spans="1:11" x14ac:dyDescent="0.3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</row>
    <row r="70" spans="1:11" x14ac:dyDescent="0.3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</row>
    <row r="71" spans="1:11" x14ac:dyDescent="0.3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</row>
    <row r="72" spans="1:11" x14ac:dyDescent="0.3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</row>
    <row r="73" spans="1:11" x14ac:dyDescent="0.3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</row>
    <row r="74" spans="1:11" x14ac:dyDescent="0.3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</row>
    <row r="75" spans="1:11" x14ac:dyDescent="0.3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</row>
    <row r="76" spans="1:11" x14ac:dyDescent="0.3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</row>
    <row r="77" spans="1:11" x14ac:dyDescent="0.3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</row>
    <row r="78" spans="1:11" x14ac:dyDescent="0.3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</row>
    <row r="79" spans="1:11" x14ac:dyDescent="0.3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</row>
    <row r="80" spans="1:11" x14ac:dyDescent="0.3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K80"/>
  <sheetViews>
    <sheetView tabSelected="1" workbookViewId="0">
      <selection activeCell="B8" sqref="B8"/>
    </sheetView>
  </sheetViews>
  <sheetFormatPr defaultRowHeight="14.5" x14ac:dyDescent="0.35"/>
  <cols>
    <col min="1" max="1" width="50.90625" bestFit="1" customWidth="1"/>
    <col min="2" max="2" width="18" customWidth="1"/>
    <col min="3" max="3" width="70" customWidth="1"/>
    <col min="4" max="4" width="36" customWidth="1"/>
    <col min="5" max="9" width="18" customWidth="1"/>
  </cols>
  <sheetData>
    <row r="1" spans="1:11" ht="16" customHeight="1" x14ac:dyDescent="0.4">
      <c r="A1" s="4" t="s">
        <v>237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 x14ac:dyDescent="0.35">
      <c r="A2" s="1"/>
      <c r="B2" s="1"/>
      <c r="C2" s="1"/>
      <c r="D2" s="1"/>
      <c r="E2" s="1"/>
      <c r="F2" s="1"/>
      <c r="G2" s="1"/>
      <c r="H2" s="1"/>
      <c r="I2" s="1"/>
      <c r="J2" s="1"/>
      <c r="K2" s="1"/>
    </row>
    <row r="3" spans="1:11" x14ac:dyDescent="0.35">
      <c r="A3" s="5" t="s">
        <v>238</v>
      </c>
      <c r="B3" s="5" t="s">
        <v>239</v>
      </c>
      <c r="C3" s="5" t="s">
        <v>150</v>
      </c>
      <c r="D3" s="1"/>
      <c r="E3" s="1"/>
      <c r="F3" s="1"/>
      <c r="G3" s="1"/>
      <c r="H3" s="1"/>
      <c r="I3" s="1"/>
      <c r="J3" s="1"/>
      <c r="K3" s="1"/>
    </row>
    <row r="4" spans="1:11" ht="26" x14ac:dyDescent="0.35">
      <c r="A4" s="1" t="s">
        <v>240</v>
      </c>
      <c r="B4" s="1" t="s">
        <v>241</v>
      </c>
      <c r="C4" s="1" t="s">
        <v>242</v>
      </c>
      <c r="D4" s="1"/>
      <c r="E4" s="1"/>
      <c r="F4" s="1"/>
      <c r="G4" s="1"/>
      <c r="H4" s="1"/>
      <c r="I4" s="1"/>
      <c r="J4" s="1"/>
      <c r="K4" s="1"/>
    </row>
    <row r="5" spans="1:11" ht="38.5" x14ac:dyDescent="0.35">
      <c r="A5" s="1" t="s">
        <v>243</v>
      </c>
      <c r="B5" s="1" t="s">
        <v>244</v>
      </c>
      <c r="C5" s="1" t="s">
        <v>245</v>
      </c>
      <c r="D5" s="1"/>
      <c r="E5" s="1"/>
      <c r="F5" s="1"/>
      <c r="G5" s="1"/>
      <c r="H5" s="1"/>
      <c r="I5" s="1"/>
      <c r="J5" s="1"/>
      <c r="K5" s="1"/>
    </row>
    <row r="6" spans="1:11" ht="26" x14ac:dyDescent="0.35">
      <c r="A6" s="1" t="s">
        <v>246</v>
      </c>
      <c r="B6" s="1" t="s">
        <v>247</v>
      </c>
      <c r="C6" s="1" t="s">
        <v>248</v>
      </c>
      <c r="D6" s="1"/>
      <c r="E6" s="1"/>
      <c r="F6" s="1"/>
      <c r="G6" s="1"/>
      <c r="H6" s="1"/>
      <c r="I6" s="1"/>
      <c r="J6" s="1"/>
      <c r="K6" s="1"/>
    </row>
    <row r="7" spans="1:11" ht="26" x14ac:dyDescent="0.35">
      <c r="A7" s="1" t="s">
        <v>249</v>
      </c>
      <c r="B7" s="1" t="s">
        <v>250</v>
      </c>
      <c r="C7" s="1" t="s">
        <v>251</v>
      </c>
      <c r="D7" s="1"/>
      <c r="E7" s="1"/>
      <c r="F7" s="1"/>
      <c r="G7" s="1"/>
      <c r="H7" s="1"/>
      <c r="I7" s="1"/>
      <c r="J7" s="1"/>
      <c r="K7" s="1"/>
    </row>
    <row r="8" spans="1:11" x14ac:dyDescent="0.35">
      <c r="A8" s="1"/>
      <c r="B8" s="1"/>
      <c r="C8" s="1"/>
      <c r="D8" s="1"/>
      <c r="E8" s="1"/>
      <c r="F8" s="1"/>
      <c r="G8" s="1"/>
      <c r="H8" s="1"/>
      <c r="I8" s="1"/>
      <c r="J8" s="1"/>
      <c r="K8" s="1"/>
    </row>
    <row r="9" spans="1:11" x14ac:dyDescent="0.35">
      <c r="A9" s="1"/>
      <c r="B9" s="1"/>
      <c r="C9" s="1"/>
      <c r="D9" s="1"/>
      <c r="E9" s="1"/>
      <c r="F9" s="1"/>
      <c r="G9" s="1"/>
      <c r="H9" s="1"/>
      <c r="I9" s="1"/>
      <c r="J9" s="1"/>
      <c r="K9" s="1"/>
    </row>
    <row r="10" spans="1:11" ht="76" x14ac:dyDescent="0.35">
      <c r="A10" s="1" t="s">
        <v>252</v>
      </c>
      <c r="B10" s="1" t="s">
        <v>253</v>
      </c>
      <c r="C10" s="1"/>
      <c r="D10" s="1"/>
      <c r="E10" s="1"/>
      <c r="F10" s="1"/>
      <c r="G10" s="1"/>
      <c r="H10" s="1"/>
      <c r="I10" s="1"/>
      <c r="J10" s="1"/>
      <c r="K10" s="1"/>
    </row>
    <row r="11" spans="1:11" ht="76" x14ac:dyDescent="0.35">
      <c r="A11" s="1" t="s">
        <v>254</v>
      </c>
      <c r="B11" s="1" t="s">
        <v>255</v>
      </c>
      <c r="C11" s="1"/>
      <c r="D11" s="1"/>
      <c r="E11" s="1"/>
      <c r="F11" s="1"/>
      <c r="G11" s="1"/>
      <c r="H11" s="1"/>
      <c r="I11" s="1"/>
      <c r="J11" s="1"/>
      <c r="K11" s="1"/>
    </row>
    <row r="12" spans="1:11" ht="126" x14ac:dyDescent="0.35">
      <c r="A12" s="1" t="s">
        <v>256</v>
      </c>
      <c r="B12" s="1" t="s">
        <v>257</v>
      </c>
      <c r="C12" s="1"/>
      <c r="D12" s="1"/>
      <c r="E12" s="1"/>
      <c r="F12" s="1"/>
      <c r="G12" s="1"/>
      <c r="H12" s="1"/>
      <c r="I12" s="1"/>
      <c r="J12" s="1"/>
      <c r="K12" s="1"/>
    </row>
    <row r="13" spans="1:11" x14ac:dyDescent="0.35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</row>
    <row r="14" spans="1:11" x14ac:dyDescent="0.35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</row>
    <row r="15" spans="1:11" x14ac:dyDescent="0.3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</row>
    <row r="16" spans="1:11" x14ac:dyDescent="0.35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</row>
    <row r="17" spans="1:11" x14ac:dyDescent="0.35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</row>
    <row r="18" spans="1:11" x14ac:dyDescent="0.35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</row>
    <row r="19" spans="1:11" x14ac:dyDescent="0.3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</row>
    <row r="20" spans="1:11" x14ac:dyDescent="0.3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</row>
    <row r="21" spans="1:11" x14ac:dyDescent="0.3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</row>
    <row r="22" spans="1:11" x14ac:dyDescent="0.3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</row>
    <row r="23" spans="1:11" x14ac:dyDescent="0.3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</row>
    <row r="24" spans="1:11" x14ac:dyDescent="0.3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</row>
    <row r="25" spans="1:11" x14ac:dyDescent="0.3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</row>
    <row r="26" spans="1:11" x14ac:dyDescent="0.3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</row>
    <row r="27" spans="1:11" x14ac:dyDescent="0.3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</row>
    <row r="28" spans="1:11" x14ac:dyDescent="0.3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</row>
    <row r="29" spans="1:11" x14ac:dyDescent="0.3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</row>
    <row r="30" spans="1:11" x14ac:dyDescent="0.3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</row>
    <row r="31" spans="1:11" x14ac:dyDescent="0.3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</row>
    <row r="32" spans="1:11" x14ac:dyDescent="0.3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</row>
    <row r="33" spans="1:11" x14ac:dyDescent="0.3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</row>
    <row r="34" spans="1:11" x14ac:dyDescent="0.3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</row>
    <row r="35" spans="1:11" x14ac:dyDescent="0.3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</row>
    <row r="36" spans="1:11" x14ac:dyDescent="0.3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</row>
    <row r="37" spans="1:11" x14ac:dyDescent="0.3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</row>
    <row r="38" spans="1:11" x14ac:dyDescent="0.3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</row>
    <row r="39" spans="1:11" x14ac:dyDescent="0.3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</row>
    <row r="40" spans="1:11" x14ac:dyDescent="0.3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</row>
    <row r="41" spans="1:11" x14ac:dyDescent="0.3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</row>
    <row r="42" spans="1:11" x14ac:dyDescent="0.3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</row>
    <row r="43" spans="1:11" x14ac:dyDescent="0.3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</row>
    <row r="44" spans="1:11" x14ac:dyDescent="0.3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</row>
    <row r="45" spans="1:11" x14ac:dyDescent="0.3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</row>
    <row r="46" spans="1:11" x14ac:dyDescent="0.3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</row>
    <row r="47" spans="1:11" x14ac:dyDescent="0.3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</row>
    <row r="48" spans="1:11" x14ac:dyDescent="0.3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</row>
    <row r="49" spans="1:11" x14ac:dyDescent="0.3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</row>
    <row r="50" spans="1:11" x14ac:dyDescent="0.3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</row>
    <row r="51" spans="1:11" x14ac:dyDescent="0.3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</row>
    <row r="52" spans="1:11" x14ac:dyDescent="0.3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</row>
    <row r="53" spans="1:11" x14ac:dyDescent="0.3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</row>
    <row r="54" spans="1:11" x14ac:dyDescent="0.3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</row>
    <row r="55" spans="1:11" x14ac:dyDescent="0.3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</row>
    <row r="56" spans="1:11" x14ac:dyDescent="0.3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</row>
    <row r="57" spans="1:11" x14ac:dyDescent="0.3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</row>
    <row r="58" spans="1:11" x14ac:dyDescent="0.3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</row>
    <row r="59" spans="1:11" x14ac:dyDescent="0.3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</row>
    <row r="60" spans="1:11" x14ac:dyDescent="0.3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</row>
    <row r="61" spans="1:11" x14ac:dyDescent="0.3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</row>
    <row r="62" spans="1:11" x14ac:dyDescent="0.3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</row>
    <row r="63" spans="1:11" x14ac:dyDescent="0.3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</row>
    <row r="64" spans="1:11" x14ac:dyDescent="0.3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</row>
    <row r="65" spans="1:11" x14ac:dyDescent="0.3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</row>
    <row r="66" spans="1:11" x14ac:dyDescent="0.3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</row>
    <row r="67" spans="1:11" x14ac:dyDescent="0.3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</row>
    <row r="68" spans="1:11" x14ac:dyDescent="0.3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</row>
    <row r="69" spans="1:11" x14ac:dyDescent="0.3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</row>
    <row r="70" spans="1:11" x14ac:dyDescent="0.3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</row>
    <row r="71" spans="1:11" x14ac:dyDescent="0.3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</row>
    <row r="72" spans="1:11" x14ac:dyDescent="0.3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</row>
    <row r="73" spans="1:11" x14ac:dyDescent="0.3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</row>
    <row r="74" spans="1:11" x14ac:dyDescent="0.3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</row>
    <row r="75" spans="1:11" x14ac:dyDescent="0.3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</row>
    <row r="76" spans="1:11" x14ac:dyDescent="0.3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</row>
    <row r="77" spans="1:11" x14ac:dyDescent="0.3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</row>
    <row r="78" spans="1:11" x14ac:dyDescent="0.3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</row>
    <row r="79" spans="1:11" x14ac:dyDescent="0.3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</row>
    <row r="80" spans="1:11" x14ac:dyDescent="0.3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K80"/>
  <sheetViews>
    <sheetView workbookViewId="0"/>
  </sheetViews>
  <sheetFormatPr defaultRowHeight="14.5" x14ac:dyDescent="0.35"/>
  <cols>
    <col min="1" max="1" width="28" customWidth="1"/>
    <col min="2" max="2" width="18" customWidth="1"/>
    <col min="3" max="3" width="56" customWidth="1"/>
    <col min="4" max="4" width="36" customWidth="1"/>
    <col min="5" max="9" width="18" customWidth="1"/>
  </cols>
  <sheetData>
    <row r="1" spans="1:11" ht="16" customHeight="1" x14ac:dyDescent="0.4">
      <c r="A1" s="4" t="s">
        <v>258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 x14ac:dyDescent="0.35">
      <c r="A2" s="1"/>
      <c r="B2" s="1"/>
      <c r="C2" s="1"/>
      <c r="D2" s="1"/>
      <c r="E2" s="1"/>
      <c r="F2" s="1"/>
      <c r="G2" s="1"/>
      <c r="H2" s="1"/>
      <c r="I2" s="1"/>
      <c r="J2" s="1"/>
      <c r="K2" s="1"/>
    </row>
    <row r="3" spans="1:11" x14ac:dyDescent="0.35">
      <c r="A3" s="5" t="s">
        <v>20</v>
      </c>
      <c r="B3" s="5" t="s">
        <v>259</v>
      </c>
      <c r="C3" s="5" t="s">
        <v>260</v>
      </c>
      <c r="D3" s="5" t="s">
        <v>261</v>
      </c>
      <c r="E3" s="5" t="s">
        <v>262</v>
      </c>
      <c r="F3" s="1"/>
      <c r="G3" s="1"/>
      <c r="H3" s="1"/>
      <c r="I3" s="1"/>
      <c r="J3" s="1"/>
      <c r="K3" s="1"/>
    </row>
    <row r="4" spans="1:11" ht="26" x14ac:dyDescent="0.35">
      <c r="A4" s="1" t="s">
        <v>263</v>
      </c>
      <c r="B4" s="1" t="s">
        <v>264</v>
      </c>
      <c r="C4" s="1" t="s">
        <v>265</v>
      </c>
      <c r="D4" s="1" t="s">
        <v>266</v>
      </c>
      <c r="E4" s="1" t="s">
        <v>267</v>
      </c>
      <c r="F4" s="1"/>
      <c r="G4" s="1"/>
      <c r="H4" s="1"/>
      <c r="I4" s="1"/>
      <c r="J4" s="1"/>
      <c r="K4" s="1"/>
    </row>
    <row r="5" spans="1:11" ht="26" x14ac:dyDescent="0.35">
      <c r="A5" s="1" t="s">
        <v>268</v>
      </c>
      <c r="B5" s="1" t="s">
        <v>269</v>
      </c>
      <c r="C5" s="1" t="s">
        <v>270</v>
      </c>
      <c r="D5" s="1" t="s">
        <v>271</v>
      </c>
      <c r="E5" s="1" t="s">
        <v>267</v>
      </c>
      <c r="F5" s="1"/>
      <c r="G5" s="1"/>
      <c r="H5" s="1"/>
      <c r="I5" s="1"/>
      <c r="J5" s="1"/>
      <c r="K5" s="1"/>
    </row>
    <row r="6" spans="1:11" ht="26" x14ac:dyDescent="0.35">
      <c r="A6" s="1" t="s">
        <v>272</v>
      </c>
      <c r="B6" s="1" t="s">
        <v>273</v>
      </c>
      <c r="C6" s="1" t="s">
        <v>274</v>
      </c>
      <c r="D6" s="1" t="s">
        <v>275</v>
      </c>
      <c r="E6" s="1" t="s">
        <v>267</v>
      </c>
      <c r="F6" s="1"/>
      <c r="G6" s="1"/>
      <c r="H6" s="1"/>
      <c r="I6" s="1"/>
      <c r="J6" s="1"/>
      <c r="K6" s="1"/>
    </row>
    <row r="7" spans="1:11" x14ac:dyDescent="0.35">
      <c r="A7" s="1" t="s">
        <v>276</v>
      </c>
      <c r="B7" s="1" t="s">
        <v>277</v>
      </c>
      <c r="C7" s="1" t="s">
        <v>278</v>
      </c>
      <c r="D7" s="1" t="s">
        <v>279</v>
      </c>
      <c r="E7" s="1" t="s">
        <v>267</v>
      </c>
      <c r="F7" s="1"/>
      <c r="G7" s="1"/>
      <c r="H7" s="1"/>
      <c r="I7" s="1"/>
      <c r="J7" s="1"/>
      <c r="K7" s="1"/>
    </row>
    <row r="8" spans="1:11" ht="26" x14ac:dyDescent="0.35">
      <c r="A8" s="1" t="s">
        <v>280</v>
      </c>
      <c r="B8" s="1" t="s">
        <v>281</v>
      </c>
      <c r="C8" s="1" t="s">
        <v>282</v>
      </c>
      <c r="D8" s="1" t="s">
        <v>283</v>
      </c>
      <c r="E8" s="1" t="s">
        <v>267</v>
      </c>
      <c r="F8" s="1"/>
      <c r="G8" s="1"/>
      <c r="H8" s="1"/>
      <c r="I8" s="1"/>
      <c r="J8" s="1"/>
      <c r="K8" s="1"/>
    </row>
    <row r="9" spans="1:11" x14ac:dyDescent="0.35">
      <c r="A9" s="1"/>
      <c r="B9" s="1"/>
      <c r="C9" s="1"/>
      <c r="D9" s="1"/>
      <c r="E9" s="1"/>
      <c r="F9" s="1"/>
      <c r="G9" s="1"/>
      <c r="H9" s="1"/>
      <c r="I9" s="1"/>
      <c r="J9" s="1"/>
      <c r="K9" s="1"/>
    </row>
    <row r="10" spans="1:11" ht="113.5" x14ac:dyDescent="0.35">
      <c r="A10" s="1" t="s">
        <v>284</v>
      </c>
      <c r="B10" s="1" t="s">
        <v>285</v>
      </c>
      <c r="C10" s="1"/>
      <c r="D10" s="1"/>
      <c r="E10" s="1"/>
      <c r="F10" s="1"/>
      <c r="G10" s="1"/>
      <c r="H10" s="1"/>
      <c r="I10" s="1"/>
      <c r="J10" s="1"/>
      <c r="K10" s="1"/>
    </row>
    <row r="11" spans="1:11" ht="51" x14ac:dyDescent="0.35">
      <c r="A11" s="1" t="s">
        <v>286</v>
      </c>
      <c r="B11" s="1" t="s">
        <v>287</v>
      </c>
      <c r="C11" s="1"/>
      <c r="D11" s="1"/>
      <c r="E11" s="1"/>
      <c r="F11" s="1"/>
      <c r="G11" s="1"/>
      <c r="H11" s="1"/>
      <c r="I11" s="1"/>
      <c r="J11" s="1"/>
      <c r="K11" s="1"/>
    </row>
    <row r="12" spans="1:11" x14ac:dyDescent="0.35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</row>
    <row r="13" spans="1:11" x14ac:dyDescent="0.35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</row>
    <row r="14" spans="1:11" x14ac:dyDescent="0.35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</row>
    <row r="15" spans="1:11" x14ac:dyDescent="0.3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</row>
    <row r="16" spans="1:11" x14ac:dyDescent="0.35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</row>
    <row r="17" spans="1:11" x14ac:dyDescent="0.35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</row>
    <row r="18" spans="1:11" x14ac:dyDescent="0.35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</row>
    <row r="19" spans="1:11" x14ac:dyDescent="0.3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</row>
    <row r="20" spans="1:11" x14ac:dyDescent="0.3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</row>
    <row r="21" spans="1:11" x14ac:dyDescent="0.3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</row>
    <row r="22" spans="1:11" x14ac:dyDescent="0.3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</row>
    <row r="23" spans="1:11" x14ac:dyDescent="0.3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</row>
    <row r="24" spans="1:11" x14ac:dyDescent="0.3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</row>
    <row r="25" spans="1:11" x14ac:dyDescent="0.3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</row>
    <row r="26" spans="1:11" x14ac:dyDescent="0.3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</row>
    <row r="27" spans="1:11" x14ac:dyDescent="0.3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</row>
    <row r="28" spans="1:11" x14ac:dyDescent="0.3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</row>
    <row r="29" spans="1:11" x14ac:dyDescent="0.3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</row>
    <row r="30" spans="1:11" x14ac:dyDescent="0.3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</row>
    <row r="31" spans="1:11" x14ac:dyDescent="0.3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</row>
    <row r="32" spans="1:11" x14ac:dyDescent="0.3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</row>
    <row r="33" spans="1:11" x14ac:dyDescent="0.3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</row>
    <row r="34" spans="1:11" x14ac:dyDescent="0.3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</row>
    <row r="35" spans="1:11" x14ac:dyDescent="0.3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</row>
    <row r="36" spans="1:11" x14ac:dyDescent="0.3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</row>
    <row r="37" spans="1:11" x14ac:dyDescent="0.3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</row>
    <row r="38" spans="1:11" x14ac:dyDescent="0.3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</row>
    <row r="39" spans="1:11" x14ac:dyDescent="0.3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</row>
    <row r="40" spans="1:11" x14ac:dyDescent="0.3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</row>
    <row r="41" spans="1:11" x14ac:dyDescent="0.3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</row>
    <row r="42" spans="1:11" x14ac:dyDescent="0.3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</row>
    <row r="43" spans="1:11" x14ac:dyDescent="0.3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</row>
    <row r="44" spans="1:11" x14ac:dyDescent="0.3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</row>
    <row r="45" spans="1:11" x14ac:dyDescent="0.3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</row>
    <row r="46" spans="1:11" x14ac:dyDescent="0.3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</row>
    <row r="47" spans="1:11" x14ac:dyDescent="0.3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</row>
    <row r="48" spans="1:11" x14ac:dyDescent="0.3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</row>
    <row r="49" spans="1:11" x14ac:dyDescent="0.3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</row>
    <row r="50" spans="1:11" x14ac:dyDescent="0.3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</row>
    <row r="51" spans="1:11" x14ac:dyDescent="0.3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</row>
    <row r="52" spans="1:11" x14ac:dyDescent="0.3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</row>
    <row r="53" spans="1:11" x14ac:dyDescent="0.3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</row>
    <row r="54" spans="1:11" x14ac:dyDescent="0.3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</row>
    <row r="55" spans="1:11" x14ac:dyDescent="0.3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</row>
    <row r="56" spans="1:11" x14ac:dyDescent="0.3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</row>
    <row r="57" spans="1:11" x14ac:dyDescent="0.3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</row>
    <row r="58" spans="1:11" x14ac:dyDescent="0.3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</row>
    <row r="59" spans="1:11" x14ac:dyDescent="0.3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</row>
    <row r="60" spans="1:11" x14ac:dyDescent="0.3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</row>
    <row r="61" spans="1:11" x14ac:dyDescent="0.3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</row>
    <row r="62" spans="1:11" x14ac:dyDescent="0.3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</row>
    <row r="63" spans="1:11" x14ac:dyDescent="0.3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</row>
    <row r="64" spans="1:11" x14ac:dyDescent="0.3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</row>
    <row r="65" spans="1:11" x14ac:dyDescent="0.3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</row>
    <row r="66" spans="1:11" x14ac:dyDescent="0.3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</row>
    <row r="67" spans="1:11" x14ac:dyDescent="0.3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</row>
    <row r="68" spans="1:11" x14ac:dyDescent="0.3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</row>
    <row r="69" spans="1:11" x14ac:dyDescent="0.3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</row>
    <row r="70" spans="1:11" x14ac:dyDescent="0.3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</row>
    <row r="71" spans="1:11" x14ac:dyDescent="0.3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</row>
    <row r="72" spans="1:11" x14ac:dyDescent="0.3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</row>
    <row r="73" spans="1:11" x14ac:dyDescent="0.3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</row>
    <row r="74" spans="1:11" x14ac:dyDescent="0.3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</row>
    <row r="75" spans="1:11" x14ac:dyDescent="0.3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</row>
    <row r="76" spans="1:11" x14ac:dyDescent="0.3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</row>
    <row r="77" spans="1:11" x14ac:dyDescent="0.3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</row>
    <row r="78" spans="1:11" x14ac:dyDescent="0.3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</row>
    <row r="79" spans="1:11" x14ac:dyDescent="0.3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</row>
    <row r="80" spans="1:11" x14ac:dyDescent="0.3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0 Cover</vt:lpstr>
      <vt:lpstr>1 Inputs</vt:lpstr>
      <vt:lpstr>2 Historical FS</vt:lpstr>
      <vt:lpstr>3 Forecast</vt:lpstr>
      <vt:lpstr>4 DCF</vt:lpstr>
      <vt:lpstr>5 Trading Comps</vt:lpstr>
      <vt:lpstr>6 Precedents</vt:lpstr>
      <vt:lpstr>7 Financing Alternatives</vt:lpstr>
      <vt:lpstr>8 Accretion Dilution</vt:lpstr>
      <vt:lpstr>9 Sensitivities</vt:lpstr>
      <vt:lpstr>10 Recommendation</vt:lpstr>
      <vt:lpstr>11 Sources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 S</cp:lastModifiedBy>
  <dcterms:modified xsi:type="dcterms:W3CDTF">2026-07-31T21:46:19Z</dcterms:modified>
</cp:coreProperties>
</file>